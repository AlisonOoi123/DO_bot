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transport\"/>
    </mc:Choice>
  </mc:AlternateContent>
  <xr:revisionPtr revIDLastSave="0" documentId="13_ncr:1_{014F3AAE-0E25-4EB8-8A29-8463818387B3}" xr6:coauthVersionLast="47" xr6:coauthVersionMax="47" xr10:uidLastSave="{00000000-0000-0000-0000-000000000000}"/>
  <bookViews>
    <workbookView xWindow="-120" yWindow="-120" windowWidth="29040" windowHeight="15720" activeTab="6" xr2:uid="{E2E94725-398A-4689-AFDE-8CD3FEFE47E9}"/>
  </bookViews>
  <sheets>
    <sheet name="VIVIAN" sheetId="3" r:id="rId1"/>
    <sheet name="ABI" sheetId="1" r:id="rId2"/>
    <sheet name="MUATAN" sheetId="2" r:id="rId3"/>
    <sheet name="ABI ROUTE" sheetId="4" r:id="rId4"/>
    <sheet name="VIVIAN ROUTE" sheetId="5" r:id="rId5"/>
    <sheet name="TRANSPORT ROUTE" sheetId="6" r:id="rId6"/>
    <sheet name="ALL ROUT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3" l="1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D40" i="2"/>
  <c r="D39" i="2"/>
  <c r="D38" i="2"/>
  <c r="D35" i="2"/>
  <c r="D32" i="2"/>
  <c r="D31" i="2"/>
  <c r="D30" i="2"/>
  <c r="D27" i="2"/>
  <c r="D26" i="2"/>
  <c r="D25" i="2"/>
  <c r="D24" i="2"/>
  <c r="D23" i="2"/>
  <c r="D22" i="2"/>
  <c r="D21" i="2"/>
  <c r="D20" i="2"/>
  <c r="D19" i="2"/>
  <c r="D16" i="2"/>
  <c r="D15" i="2"/>
  <c r="D14" i="2"/>
  <c r="D13" i="2"/>
  <c r="D12" i="2"/>
  <c r="D11" i="2"/>
  <c r="D10" i="2"/>
  <c r="D9" i="2"/>
  <c r="D8" i="2"/>
  <c r="J12" i="1"/>
  <c r="J11" i="1"/>
  <c r="J10" i="1"/>
  <c r="J9" i="1"/>
  <c r="J7" i="1"/>
  <c r="J6" i="1"/>
  <c r="J5" i="1"/>
  <c r="J4" i="1"/>
  <c r="G6" i="1"/>
  <c r="G12" i="1"/>
  <c r="J8" i="1"/>
  <c r="J3" i="1"/>
  <c r="G4" i="1"/>
  <c r="G5" i="1"/>
  <c r="G9" i="1"/>
  <c r="G7" i="1"/>
  <c r="G8" i="1"/>
  <c r="G10" i="1"/>
  <c r="G11" i="1"/>
  <c r="G3" i="1"/>
</calcChain>
</file>

<file path=xl/sharedStrings.xml><?xml version="1.0" encoding="utf-8"?>
<sst xmlns="http://schemas.openxmlformats.org/spreadsheetml/2006/main" count="446" uniqueCount="151">
  <si>
    <t>NO</t>
  </si>
  <si>
    <t>LORRY</t>
  </si>
  <si>
    <t>DRIVER</t>
  </si>
  <si>
    <t>MUATAN(KG)</t>
  </si>
  <si>
    <t>JUMLAH (KEDAI)</t>
  </si>
  <si>
    <t>ISI (KG)</t>
  </si>
  <si>
    <t>DONE</t>
  </si>
  <si>
    <t>AREA</t>
  </si>
  <si>
    <t>BQU3875</t>
  </si>
  <si>
    <t>VER2872</t>
  </si>
  <si>
    <t>VJN9910</t>
  </si>
  <si>
    <t>BQY7823</t>
  </si>
  <si>
    <t>BPE9788</t>
  </si>
  <si>
    <t>BQX9983</t>
  </si>
  <si>
    <t>BQX7228</t>
  </si>
  <si>
    <t>W3618U</t>
  </si>
  <si>
    <t>W3826C</t>
  </si>
  <si>
    <t>VEA2818</t>
  </si>
  <si>
    <t>ABI</t>
  </si>
  <si>
    <t>VIVIAN</t>
  </si>
  <si>
    <t>WA9225H</t>
  </si>
  <si>
    <t>VJN8929</t>
  </si>
  <si>
    <t>BPR9226</t>
  </si>
  <si>
    <t>VJA7981</t>
  </si>
  <si>
    <t>VNL6819</t>
  </si>
  <si>
    <t>BPE9878</t>
  </si>
  <si>
    <t>VCC3998</t>
  </si>
  <si>
    <t>WYS5281</t>
  </si>
  <si>
    <t>VKN8836</t>
  </si>
  <si>
    <t>SPARE</t>
  </si>
  <si>
    <t>WA6899M</t>
  </si>
  <si>
    <t>BMN3682</t>
  </si>
  <si>
    <t>WLD8738</t>
  </si>
  <si>
    <t>SELAYANG</t>
  </si>
  <si>
    <t>WWY8028</t>
  </si>
  <si>
    <t>NAZELI</t>
  </si>
  <si>
    <t>ZIKRI</t>
  </si>
  <si>
    <t>KHAIRI</t>
  </si>
  <si>
    <t>ABDULLAH</t>
  </si>
  <si>
    <t>IZAM</t>
  </si>
  <si>
    <t>SHANKER</t>
  </si>
  <si>
    <t>AMIR</t>
  </si>
  <si>
    <t>KAMARUL</t>
  </si>
  <si>
    <t>LAGI BOLEH MASUK (KG)</t>
  </si>
  <si>
    <t>PERCENTAGE OF DELIVERY</t>
  </si>
  <si>
    <t>KUANTAN</t>
  </si>
  <si>
    <t>CUTI</t>
  </si>
  <si>
    <t>RAWANG</t>
  </si>
  <si>
    <t>MENTAKAB</t>
  </si>
  <si>
    <t>KAJANG</t>
  </si>
  <si>
    <t>JEMADI</t>
  </si>
  <si>
    <t>KEPONG</t>
  </si>
  <si>
    <t>✓</t>
  </si>
  <si>
    <t>CHERAS</t>
  </si>
  <si>
    <t>CHOW KIT</t>
  </si>
  <si>
    <t>PUDU</t>
  </si>
  <si>
    <t>B.CAVES</t>
  </si>
  <si>
    <t>REMARKS</t>
  </si>
  <si>
    <t>SALESMAN TAK ADA ORDER LAGI</t>
  </si>
  <si>
    <t xml:space="preserve">LORRY </t>
  </si>
  <si>
    <t>BDM</t>
  </si>
  <si>
    <t>BTM</t>
  </si>
  <si>
    <t>MUATAN</t>
  </si>
  <si>
    <t>BIG</t>
  </si>
  <si>
    <t>VGY9249</t>
  </si>
  <si>
    <t>BRL7687</t>
  </si>
  <si>
    <t>WYD7184</t>
  </si>
  <si>
    <t>LORRY NAIK (5 %)</t>
  </si>
  <si>
    <t>SHAADI</t>
  </si>
  <si>
    <t>CELSON</t>
  </si>
  <si>
    <t>SAMSUL</t>
  </si>
  <si>
    <t>SAIFUL</t>
  </si>
  <si>
    <t>ARIFF</t>
  </si>
  <si>
    <t>DIN</t>
  </si>
  <si>
    <t>HAIRUL</t>
  </si>
  <si>
    <t xml:space="preserve">HELMI </t>
  </si>
  <si>
    <t>AZDIE</t>
  </si>
  <si>
    <t>Number</t>
  </si>
  <si>
    <t>Code</t>
  </si>
  <si>
    <t>Message</t>
  </si>
  <si>
    <t>1</t>
  </si>
  <si>
    <t>JH01--&gt; Tangkak-Pagoh-Muar</t>
  </si>
  <si>
    <t>JH05--&gt;Yong Peng- Parit Raja -Batu Pahat</t>
  </si>
  <si>
    <t>JH06--&gt;Ayer hitam-Kluang</t>
  </si>
  <si>
    <t>JH09--&gt;Kulai-Senai-Skudai-Johor Bharu</t>
  </si>
  <si>
    <t>JH10--&gt;Pdn-Plentong-Masai-Pasir gudang-Nusajaya</t>
  </si>
  <si>
    <t>KDH01--&gt;KEDAH</t>
  </si>
  <si>
    <t>KLT01--&gt;KOTA BHARU</t>
  </si>
  <si>
    <t>KV01A - T.MALIM - K.KUBU  - B.KALI  -N 1</t>
  </si>
  <si>
    <t>KV02A - B.BERUNTUNG - SERENDAH - RAWANG - N 2</t>
  </si>
  <si>
    <t>KV03A- K.SELANGOR - SEKINCHAN - T.KARANG - S.BESAR - WN 1</t>
  </si>
  <si>
    <t>KV04A - SUNGAI BULOH - U5 - KOTA DAMANSARA - N 4</t>
  </si>
  <si>
    <t>KV05A - SELAYANG - BATU CAVES - N 5</t>
  </si>
  <si>
    <t xml:space="preserve">KV06A - KEPONG - SRI DAMANSARA - MONT KIARA - N 6 </t>
  </si>
  <si>
    <t>KV07A - SEGAMBUT - SENTUL - NE 1</t>
  </si>
  <si>
    <t>KV08A - GOMBAK - SETAPAK - NE 2</t>
  </si>
  <si>
    <t>KV09A - WANGSAMAJU - AMPANG SOURTH -NE 3  ** START UKAY</t>
  </si>
  <si>
    <t>KV10A - CHOW KIT - RAJA LAUT - KL - E 1</t>
  </si>
  <si>
    <t>KV11A - PUDU - AMPANG NORTH - CHERAS NORTH - E 2</t>
  </si>
  <si>
    <t>KV12A - BANGSAR - BRICKFIELD - TAMAN DESA - KUCHAI LAMA - OUG - KINRARA - ES 1</t>
  </si>
  <si>
    <t>KV13A - S.KEMBANGAN - SERDANG - B.JALIL- P.JALIL - ES 2</t>
  </si>
  <si>
    <t>KV14A - PUTRA PERDANA - B.B.PUCHONG - USJ - SUBANG 1 - C 1</t>
  </si>
  <si>
    <t>KV15A - SUNWAY - GLENMARIE - PJ OLD TOWN - C 2</t>
  </si>
  <si>
    <t>KV16A - SUBANG GOLF CLUB - SEA PARK - UM - C 3</t>
  </si>
  <si>
    <t>KV17A - SUBANG AIRPORT - ARA DAMANSARA - BU - BUKIT DAMAN SARA -C 4</t>
  </si>
  <si>
    <t>KV18A - SUNGAI BESI - BALAKONG - SERDANG - SE 3</t>
  </si>
  <si>
    <t>KV19A - HULU LANGAT - CHERAS SOURTH - KAJANG - SE 4 ** START BATU 9</t>
  </si>
  <si>
    <t>KV20A - SEMENYIH - BANGI - BERANANG - MANTIN - SE 5</t>
  </si>
  <si>
    <t>KV21A - PUNCAK ALAM - KAPAR - SETIA ALAM - HOSPITAL SHAH ALAM - C 5</t>
  </si>
  <si>
    <t>KV22A - S.ALAM - S.MUDA - K.KEMUNING - C 6</t>
  </si>
  <si>
    <t xml:space="preserve">KV23A - PANDAMARAN - P.KLANG - B.TINGGI - T.GONG - P.INDAH - W 1 </t>
  </si>
  <si>
    <t>KV24--&gt;SEMENYIH</t>
  </si>
  <si>
    <t>KV24A - DENGKIL - CYBER - PUTRAJAYA - KLIA - S 1</t>
  </si>
  <si>
    <t>KV25A - JENJAROM - BANTING - T.SEPAT - T.P.GARANG - S 2</t>
  </si>
  <si>
    <t>MC01--&gt;Tampin-Melaka</t>
  </si>
  <si>
    <t>NA</t>
  </si>
  <si>
    <t>NS01--&gt;Nilai-Mantin</t>
  </si>
  <si>
    <t>NS04--&gt;Port Dickson-Lukut</t>
  </si>
  <si>
    <t>NS05--&gt;Seremban</t>
  </si>
  <si>
    <t>NS06--&gt;Kuala Pilah-Bahau-Gemas</t>
  </si>
  <si>
    <t>PG01--&gt;PENANG ISLAND</t>
  </si>
  <si>
    <t>PG02--&gt;PENANG MAINLAND</t>
  </si>
  <si>
    <t>PH01--&gt;Karak</t>
  </si>
  <si>
    <t>PH02--&gt;Bentong</t>
  </si>
  <si>
    <t>PH03--&gt;Raub</t>
  </si>
  <si>
    <t>PH04--&gt;Benta &amp; Lipis</t>
  </si>
  <si>
    <t>PH05--&gt;Jerantut &amp; Damak</t>
  </si>
  <si>
    <t>PH06--&gt;Lanchang-K.Krau-Mentakab-Temerloh</t>
  </si>
  <si>
    <t>PH07--&gt;Bera</t>
  </si>
  <si>
    <t>PH09--&gt;Kuantan</t>
  </si>
  <si>
    <t>PH10--&gt;MENTAKAB</t>
  </si>
  <si>
    <t>PH11--&gt;TEMERLOH</t>
  </si>
  <si>
    <t>PK01--&gt;Sabak Bernam-Hutan Melintang</t>
  </si>
  <si>
    <t>PK02--&gt;Teluk Intan - Langkap - Slim River</t>
  </si>
  <si>
    <t>PK03 - CAMERON HIGHLAND</t>
  </si>
  <si>
    <t>PK04--&gt;Ipoh - Town</t>
  </si>
  <si>
    <t>PK05--&gt;Batu Gajah - Menglembu - Lahat - Tapah</t>
  </si>
  <si>
    <t>PK06 --&gt; Manjung - Pantai Remis</t>
  </si>
  <si>
    <t>SBH01--&gt;KOTA KINABALU</t>
  </si>
  <si>
    <t>SRW01--&gt;BINTULU</t>
  </si>
  <si>
    <t>SRW02--&gt;MIRI</t>
  </si>
  <si>
    <t>SRW03--&gt;SIBU</t>
  </si>
  <si>
    <t>SRW04--&gt;KUCHING</t>
  </si>
  <si>
    <t>TR01--&gt;TERENGGANU</t>
  </si>
  <si>
    <t xml:space="preserve">TR02--&gt;Kemaman </t>
  </si>
  <si>
    <t>ZNA</t>
  </si>
  <si>
    <t>PK07 --&gt; Tanjung Rambutan - Sungai Siput</t>
  </si>
  <si>
    <t>PK08 --&gt; Taiping</t>
  </si>
  <si>
    <t>ABI ROUTE</t>
  </si>
  <si>
    <t>VIVIAN ROUTE</t>
  </si>
  <si>
    <t>TRANSPORT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</si>
</sst>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9" fontId="6" fillId="0" borderId="10" xfId="1" applyFont="1" applyBorder="1" applyAlignment="1">
      <alignment horizontal="center" vertical="center"/>
    </xf>
    <xf numFmtId="9" fontId="4" fillId="0" borderId="11" xfId="1" applyFont="1" applyBorder="1" applyAlignment="1">
      <alignment horizontal="center" vertical="center"/>
    </xf>
    <xf numFmtId="9" fontId="4" fillId="2" borderId="12" xfId="1" applyFont="1" applyFill="1" applyBorder="1" applyAlignment="1">
      <alignment horizontal="center" vertical="center"/>
    </xf>
    <xf numFmtId="9" fontId="4" fillId="0" borderId="13" xfId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9" fontId="4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0" fillId="0" borderId="0" xfId="0" applyNumberFormat="1"/>
    <xf numFmtId="49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5F1AF-C45A-44F1-A87A-9759D2B3B942}" name="Sage.X3.DS." displayName="Sage.X3.DS." ref="A1:C96" totalsRowShown="0">
  <autoFilter ref="A1:C96" xr:uid="{CF95F1AF-C45A-44F1-A87A-9759D2B3B942}"/>
  <sortState xmlns:xlrd2="http://schemas.microsoft.com/office/spreadsheetml/2017/richdata2" ref="A2:C93">
    <sortCondition ref="C1:C93"/>
  </sortState>
  <tableColumns count="3">
    <tableColumn id="2" xr3:uid="{E85DDC85-924C-4C03-A678-A3439F710EE8}" name="Number" dataDxfId="2"/>
    <tableColumn id="3" xr3:uid="{AD8328CE-D3A6-4D50-94A2-1EF0233FFB18}" name="Code" dataDxfId="1"/>
    <tableColumn id="4" xr3:uid="{CC540809-A48D-45B2-B43B-DB7573D9B567}" name="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D926-E7A0-4D94-A6B9-A8D9A8B3E680}">
  <dimension ref="A2:K16"/>
  <sheetViews>
    <sheetView workbookViewId="0">
      <selection activeCell="G15" sqref="G15"/>
    </sheetView>
  </sheetViews>
  <sheetFormatPr defaultRowHeight="26.25" x14ac:dyDescent="0.25"/>
  <cols>
    <col min="1" max="1" width="10.7109375" style="1" customWidth="1"/>
    <col min="2" max="3" width="20.7109375" style="1" customWidth="1"/>
    <col min="4" max="4" width="13.85546875" style="1" customWidth="1"/>
    <col min="5" max="5" width="15" style="1" customWidth="1"/>
    <col min="6" max="6" width="19.140625" style="1" customWidth="1"/>
    <col min="7" max="7" width="38.28515625" style="1" bestFit="1" customWidth="1"/>
    <col min="8" max="8" width="12.42578125" style="1" customWidth="1"/>
    <col min="9" max="9" width="26.5703125" style="1" customWidth="1"/>
    <col min="10" max="10" width="44.85546875" style="1" bestFit="1" customWidth="1"/>
    <col min="11" max="11" width="42" style="1" bestFit="1" customWidth="1"/>
    <col min="12" max="16384" width="9.140625" style="1"/>
  </cols>
  <sheetData>
    <row r="2" spans="1:11" s="11" customFormat="1" ht="48" x14ac:dyDescent="0.25">
      <c r="A2" s="42" t="s">
        <v>0</v>
      </c>
      <c r="B2" s="42" t="s">
        <v>1</v>
      </c>
      <c r="C2" s="42" t="s">
        <v>2</v>
      </c>
      <c r="D2" s="43" t="s">
        <v>3</v>
      </c>
      <c r="E2" s="43" t="s">
        <v>4</v>
      </c>
      <c r="F2" s="43" t="s">
        <v>5</v>
      </c>
      <c r="G2" s="43" t="s">
        <v>43</v>
      </c>
      <c r="H2" s="42" t="s">
        <v>6</v>
      </c>
      <c r="I2" s="42" t="s">
        <v>7</v>
      </c>
      <c r="J2" s="44" t="s">
        <v>44</v>
      </c>
      <c r="K2" s="42" t="s">
        <v>57</v>
      </c>
    </row>
    <row r="3" spans="1:11" s="5" customFormat="1" ht="30" customHeight="1" x14ac:dyDescent="0.35">
      <c r="A3" s="4">
        <v>1</v>
      </c>
      <c r="B3" s="40" t="s">
        <v>20</v>
      </c>
      <c r="C3" s="4"/>
      <c r="D3" s="40">
        <v>13377</v>
      </c>
      <c r="E3" s="4"/>
      <c r="F3" s="4"/>
      <c r="G3" s="4">
        <f>D3-F3</f>
        <v>13377</v>
      </c>
      <c r="H3" s="17" t="s">
        <v>52</v>
      </c>
      <c r="I3" s="4"/>
      <c r="J3" s="45">
        <f>F3/D3*100%</f>
        <v>0</v>
      </c>
      <c r="K3" s="46"/>
    </row>
    <row r="4" spans="1:11" s="5" customFormat="1" ht="30" customHeight="1" x14ac:dyDescent="0.3">
      <c r="A4" s="4">
        <v>2</v>
      </c>
      <c r="B4" s="40" t="s">
        <v>21</v>
      </c>
      <c r="C4" s="4" t="s">
        <v>68</v>
      </c>
      <c r="D4" s="40">
        <v>14164.5</v>
      </c>
      <c r="E4" s="4"/>
      <c r="F4" s="4"/>
      <c r="G4" s="4">
        <f t="shared" ref="G4:G12" si="0">D4-F4</f>
        <v>14164.5</v>
      </c>
      <c r="H4" s="4"/>
      <c r="I4" s="4"/>
      <c r="J4" s="45">
        <f t="shared" ref="J4:J12" si="1">F4/D4*100%</f>
        <v>0</v>
      </c>
      <c r="K4" s="4"/>
    </row>
    <row r="5" spans="1:11" s="5" customFormat="1" ht="30" customHeight="1" x14ac:dyDescent="0.3">
      <c r="A5" s="4">
        <v>3</v>
      </c>
      <c r="B5" s="40" t="s">
        <v>22</v>
      </c>
      <c r="C5" s="4" t="s">
        <v>69</v>
      </c>
      <c r="D5" s="40">
        <v>13723.5</v>
      </c>
      <c r="E5" s="4"/>
      <c r="F5" s="4"/>
      <c r="G5" s="4">
        <f t="shared" si="0"/>
        <v>13723.5</v>
      </c>
      <c r="H5" s="4"/>
      <c r="I5" s="4"/>
      <c r="J5" s="45">
        <f t="shared" si="1"/>
        <v>0</v>
      </c>
      <c r="K5" s="4"/>
    </row>
    <row r="6" spans="1:11" s="5" customFormat="1" ht="30" customHeight="1" x14ac:dyDescent="0.35">
      <c r="A6" s="4">
        <v>4</v>
      </c>
      <c r="B6" s="40" t="s">
        <v>23</v>
      </c>
      <c r="C6" s="4" t="s">
        <v>70</v>
      </c>
      <c r="D6" s="40">
        <v>10027.5</v>
      </c>
      <c r="E6" s="4"/>
      <c r="F6" s="4"/>
      <c r="G6" s="4">
        <f>D6-F6</f>
        <v>10027.5</v>
      </c>
      <c r="H6" s="17" t="s">
        <v>52</v>
      </c>
      <c r="I6" s="4"/>
      <c r="J6" s="45">
        <f t="shared" si="1"/>
        <v>0</v>
      </c>
      <c r="K6" s="46"/>
    </row>
    <row r="7" spans="1:11" s="5" customFormat="1" ht="30" customHeight="1" x14ac:dyDescent="0.35">
      <c r="A7" s="4">
        <v>5</v>
      </c>
      <c r="B7" s="40" t="s">
        <v>24</v>
      </c>
      <c r="C7" s="4" t="s">
        <v>71</v>
      </c>
      <c r="D7" s="40">
        <v>10384.5</v>
      </c>
      <c r="E7" s="4"/>
      <c r="F7" s="4"/>
      <c r="G7" s="4">
        <f t="shared" si="0"/>
        <v>10384.5</v>
      </c>
      <c r="H7" s="17" t="s">
        <v>52</v>
      </c>
      <c r="I7" s="4"/>
      <c r="J7" s="45">
        <f t="shared" si="1"/>
        <v>0</v>
      </c>
      <c r="K7" s="46"/>
    </row>
    <row r="8" spans="1:11" s="50" customFormat="1" ht="30" customHeight="1" x14ac:dyDescent="0.3">
      <c r="A8" s="3">
        <v>6</v>
      </c>
      <c r="B8" s="47" t="s">
        <v>25</v>
      </c>
      <c r="C8" s="3" t="s">
        <v>72</v>
      </c>
      <c r="D8" s="47">
        <v>4620</v>
      </c>
      <c r="E8" s="3"/>
      <c r="F8" s="3"/>
      <c r="G8" s="3">
        <f t="shared" si="0"/>
        <v>4620</v>
      </c>
      <c r="H8" s="3"/>
      <c r="I8" s="3"/>
      <c r="J8" s="48">
        <f t="shared" si="1"/>
        <v>0</v>
      </c>
      <c r="K8" s="49"/>
    </row>
    <row r="9" spans="1:11" s="5" customFormat="1" ht="30" customHeight="1" x14ac:dyDescent="0.35">
      <c r="A9" s="4">
        <v>7</v>
      </c>
      <c r="B9" s="40" t="s">
        <v>26</v>
      </c>
      <c r="C9" s="4" t="s">
        <v>73</v>
      </c>
      <c r="D9" s="40">
        <v>4368</v>
      </c>
      <c r="E9" s="4"/>
      <c r="F9" s="4"/>
      <c r="G9" s="4">
        <f>D6-F9</f>
        <v>10027.5</v>
      </c>
      <c r="H9" s="17" t="s">
        <v>52</v>
      </c>
      <c r="I9" s="4"/>
      <c r="J9" s="45">
        <f t="shared" si="1"/>
        <v>0</v>
      </c>
      <c r="K9" s="46"/>
    </row>
    <row r="10" spans="1:11" s="5" customFormat="1" ht="30" customHeight="1" x14ac:dyDescent="0.35">
      <c r="A10" s="4">
        <v>8</v>
      </c>
      <c r="B10" s="40" t="s">
        <v>27</v>
      </c>
      <c r="C10" s="4" t="s">
        <v>74</v>
      </c>
      <c r="D10" s="40">
        <v>4200</v>
      </c>
      <c r="E10" s="4"/>
      <c r="F10" s="4"/>
      <c r="G10" s="4">
        <f t="shared" si="0"/>
        <v>4200</v>
      </c>
      <c r="H10" s="17" t="s">
        <v>52</v>
      </c>
      <c r="I10" s="4"/>
      <c r="J10" s="45">
        <f t="shared" si="1"/>
        <v>0</v>
      </c>
      <c r="K10" s="46"/>
    </row>
    <row r="11" spans="1:11" s="5" customFormat="1" ht="30" customHeight="1" x14ac:dyDescent="0.35">
      <c r="A11" s="4">
        <v>9</v>
      </c>
      <c r="B11" s="40" t="s">
        <v>28</v>
      </c>
      <c r="C11" s="4" t="s">
        <v>75</v>
      </c>
      <c r="D11" s="40">
        <v>1144.5</v>
      </c>
      <c r="E11" s="4"/>
      <c r="F11" s="4"/>
      <c r="G11" s="4">
        <f t="shared" si="0"/>
        <v>1144.5</v>
      </c>
      <c r="H11" s="17" t="s">
        <v>52</v>
      </c>
      <c r="I11" s="4"/>
      <c r="J11" s="45">
        <f t="shared" si="1"/>
        <v>0</v>
      </c>
      <c r="K11" s="46"/>
    </row>
    <row r="12" spans="1:11" s="5" customFormat="1" ht="30" customHeight="1" x14ac:dyDescent="0.35">
      <c r="A12" s="4">
        <v>10</v>
      </c>
      <c r="B12" s="3"/>
      <c r="C12" s="4"/>
      <c r="D12" s="40"/>
      <c r="E12" s="4"/>
      <c r="F12" s="4"/>
      <c r="G12" s="4">
        <f t="shared" si="0"/>
        <v>0</v>
      </c>
      <c r="H12" s="17"/>
      <c r="I12" s="4"/>
      <c r="J12" s="45" t="e">
        <f t="shared" si="1"/>
        <v>#DIV/0!</v>
      </c>
      <c r="K12" s="46"/>
    </row>
    <row r="16" spans="1:11" x14ac:dyDescent="0.4">
      <c r="I16" s="1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E0C5-2A47-4471-88E7-341CFFF617B6}">
  <dimension ref="A1:K16"/>
  <sheetViews>
    <sheetView zoomScaleNormal="100" workbookViewId="0">
      <selection activeCell="C19" sqref="C19"/>
    </sheetView>
  </sheetViews>
  <sheetFormatPr defaultRowHeight="26.25" x14ac:dyDescent="0.25"/>
  <cols>
    <col min="1" max="1" width="10.7109375" style="1" customWidth="1"/>
    <col min="2" max="3" width="20.7109375" style="1" customWidth="1"/>
    <col min="4" max="4" width="13.85546875" style="1" customWidth="1"/>
    <col min="5" max="5" width="15" style="1" customWidth="1"/>
    <col min="6" max="6" width="19.140625" style="1" customWidth="1"/>
    <col min="7" max="7" width="38.28515625" style="1" bestFit="1" customWidth="1"/>
    <col min="8" max="8" width="12.42578125" style="1" customWidth="1"/>
    <col min="9" max="9" width="26.5703125" style="1" customWidth="1"/>
    <col min="10" max="10" width="44.85546875" style="1" bestFit="1" customWidth="1"/>
    <col min="11" max="11" width="42" style="1" bestFit="1" customWidth="1"/>
    <col min="12" max="16384" width="9.140625" style="1"/>
  </cols>
  <sheetData>
    <row r="1" spans="1:11" ht="27" thickBot="1" x14ac:dyDescent="0.3"/>
    <row r="2" spans="1:11" s="11" customFormat="1" ht="48.75" thickBot="1" x14ac:dyDescent="0.3">
      <c r="A2" s="15" t="s">
        <v>0</v>
      </c>
      <c r="B2" s="15" t="s">
        <v>1</v>
      </c>
      <c r="C2" s="15" t="s">
        <v>2</v>
      </c>
      <c r="D2" s="16" t="s">
        <v>3</v>
      </c>
      <c r="E2" s="16" t="s">
        <v>4</v>
      </c>
      <c r="F2" s="16" t="s">
        <v>5</v>
      </c>
      <c r="G2" s="16" t="s">
        <v>43</v>
      </c>
      <c r="H2" s="15" t="s">
        <v>6</v>
      </c>
      <c r="I2" s="15" t="s">
        <v>7</v>
      </c>
      <c r="J2" s="20" t="s">
        <v>44</v>
      </c>
      <c r="K2" s="15" t="s">
        <v>57</v>
      </c>
    </row>
    <row r="3" spans="1:11" s="5" customFormat="1" ht="30" customHeight="1" x14ac:dyDescent="0.35">
      <c r="A3" s="12">
        <v>1</v>
      </c>
      <c r="B3" s="13" t="s">
        <v>8</v>
      </c>
      <c r="C3" s="14" t="s">
        <v>35</v>
      </c>
      <c r="D3" s="14">
        <v>20000</v>
      </c>
      <c r="E3" s="14">
        <v>7</v>
      </c>
      <c r="F3" s="14">
        <v>20932</v>
      </c>
      <c r="G3" s="14">
        <f>D3-F3</f>
        <v>-932</v>
      </c>
      <c r="H3" s="24" t="s">
        <v>52</v>
      </c>
      <c r="I3" s="14" t="s">
        <v>45</v>
      </c>
      <c r="J3" s="21">
        <f>F3/D3*100%</f>
        <v>1.0466</v>
      </c>
      <c r="K3" s="27"/>
    </row>
    <row r="4" spans="1:11" s="5" customFormat="1" ht="30" customHeight="1" x14ac:dyDescent="0.25">
      <c r="A4" s="2">
        <v>2</v>
      </c>
      <c r="B4" s="3" t="s">
        <v>9</v>
      </c>
      <c r="C4" s="4" t="s">
        <v>36</v>
      </c>
      <c r="D4" s="4">
        <v>14000</v>
      </c>
      <c r="E4" s="4">
        <v>7</v>
      </c>
      <c r="F4" s="4">
        <v>10650</v>
      </c>
      <c r="G4" s="4">
        <f t="shared" ref="G4:G12" si="0">D4-F4</f>
        <v>3350</v>
      </c>
      <c r="H4" s="4"/>
      <c r="I4" s="4" t="s">
        <v>49</v>
      </c>
      <c r="J4" s="21">
        <f t="shared" ref="J4:J7" si="1">F4/D4*100%</f>
        <v>0.76071428571428568</v>
      </c>
      <c r="K4" s="29" t="s">
        <v>58</v>
      </c>
    </row>
    <row r="5" spans="1:11" s="5" customFormat="1" ht="30" customHeight="1" x14ac:dyDescent="0.25">
      <c r="A5" s="2">
        <v>3</v>
      </c>
      <c r="B5" s="3" t="s">
        <v>10</v>
      </c>
      <c r="C5" s="4" t="s">
        <v>37</v>
      </c>
      <c r="D5" s="4">
        <v>14000</v>
      </c>
      <c r="E5" s="4">
        <v>5</v>
      </c>
      <c r="F5" s="4">
        <v>12013</v>
      </c>
      <c r="G5" s="4">
        <f t="shared" si="0"/>
        <v>1987</v>
      </c>
      <c r="H5" s="4"/>
      <c r="I5" s="4" t="s">
        <v>53</v>
      </c>
      <c r="J5" s="21">
        <f t="shared" si="1"/>
        <v>0.8580714285714286</v>
      </c>
      <c r="K5" s="29" t="s">
        <v>58</v>
      </c>
    </row>
    <row r="6" spans="1:11" s="5" customFormat="1" ht="30" customHeight="1" x14ac:dyDescent="0.35">
      <c r="A6" s="2">
        <v>4</v>
      </c>
      <c r="B6" s="3" t="s">
        <v>15</v>
      </c>
      <c r="C6" s="4" t="s">
        <v>38</v>
      </c>
      <c r="D6" s="4">
        <v>5000</v>
      </c>
      <c r="E6" s="4">
        <v>4</v>
      </c>
      <c r="F6" s="4">
        <v>4835</v>
      </c>
      <c r="G6" s="14">
        <f>D6-F6</f>
        <v>165</v>
      </c>
      <c r="H6" s="17" t="s">
        <v>52</v>
      </c>
      <c r="I6" s="4" t="s">
        <v>51</v>
      </c>
      <c r="J6" s="21">
        <f t="shared" si="1"/>
        <v>0.96699999999999997</v>
      </c>
      <c r="K6" s="25"/>
    </row>
    <row r="7" spans="1:11" s="5" customFormat="1" ht="30" customHeight="1" x14ac:dyDescent="0.35">
      <c r="A7" s="2">
        <v>5</v>
      </c>
      <c r="B7" s="3" t="s">
        <v>12</v>
      </c>
      <c r="C7" s="4" t="s">
        <v>39</v>
      </c>
      <c r="D7" s="4">
        <v>14000</v>
      </c>
      <c r="E7" s="4">
        <v>13</v>
      </c>
      <c r="F7" s="4">
        <v>13738</v>
      </c>
      <c r="G7" s="4">
        <f t="shared" si="0"/>
        <v>262</v>
      </c>
      <c r="H7" s="17" t="s">
        <v>52</v>
      </c>
      <c r="I7" s="4" t="s">
        <v>48</v>
      </c>
      <c r="J7" s="21">
        <f t="shared" si="1"/>
        <v>0.98128571428571432</v>
      </c>
      <c r="K7" s="25"/>
    </row>
    <row r="8" spans="1:11" s="5" customFormat="1" ht="30" customHeight="1" x14ac:dyDescent="0.25">
      <c r="A8" s="6">
        <v>6</v>
      </c>
      <c r="B8" s="7" t="s">
        <v>13</v>
      </c>
      <c r="C8" s="7" t="s">
        <v>40</v>
      </c>
      <c r="D8" s="7">
        <v>10000</v>
      </c>
      <c r="E8" s="7"/>
      <c r="F8" s="7"/>
      <c r="G8" s="7">
        <f t="shared" si="0"/>
        <v>10000</v>
      </c>
      <c r="H8" s="7"/>
      <c r="I8" s="7" t="s">
        <v>46</v>
      </c>
      <c r="J8" s="22">
        <f t="shared" ref="J8:J12" si="2">F8/D8*100%</f>
        <v>0</v>
      </c>
      <c r="K8" s="28"/>
    </row>
    <row r="9" spans="1:11" s="5" customFormat="1" ht="30" customHeight="1" x14ac:dyDescent="0.35">
      <c r="A9" s="2">
        <v>7</v>
      </c>
      <c r="B9" s="3" t="s">
        <v>14</v>
      </c>
      <c r="C9" s="4" t="s">
        <v>41</v>
      </c>
      <c r="D9" s="4">
        <v>5000</v>
      </c>
      <c r="E9" s="4">
        <v>5</v>
      </c>
      <c r="F9" s="4">
        <v>5298</v>
      </c>
      <c r="G9" s="4">
        <f>D6-F9</f>
        <v>-298</v>
      </c>
      <c r="H9" s="17" t="s">
        <v>52</v>
      </c>
      <c r="I9" s="4" t="s">
        <v>56</v>
      </c>
      <c r="J9" s="21">
        <f t="shared" si="2"/>
        <v>1.0596000000000001</v>
      </c>
      <c r="K9" s="25"/>
    </row>
    <row r="10" spans="1:11" s="5" customFormat="1" ht="30" customHeight="1" x14ac:dyDescent="0.35">
      <c r="A10" s="2">
        <v>8</v>
      </c>
      <c r="B10" s="3" t="s">
        <v>16</v>
      </c>
      <c r="C10" s="4" t="s">
        <v>42</v>
      </c>
      <c r="D10" s="4">
        <v>5000</v>
      </c>
      <c r="E10" s="4">
        <v>7</v>
      </c>
      <c r="F10" s="4">
        <v>4931</v>
      </c>
      <c r="G10" s="4">
        <f t="shared" si="0"/>
        <v>69</v>
      </c>
      <c r="H10" s="17" t="s">
        <v>52</v>
      </c>
      <c r="I10" s="4" t="s">
        <v>54</v>
      </c>
      <c r="J10" s="21">
        <f t="shared" si="2"/>
        <v>0.98619999999999997</v>
      </c>
      <c r="K10" s="25"/>
    </row>
    <row r="11" spans="1:11" s="5" customFormat="1" ht="30" customHeight="1" x14ac:dyDescent="0.35">
      <c r="A11" s="2">
        <v>9</v>
      </c>
      <c r="B11" s="3" t="s">
        <v>17</v>
      </c>
      <c r="C11" s="4" t="s">
        <v>76</v>
      </c>
      <c r="D11" s="4">
        <v>1113</v>
      </c>
      <c r="E11" s="4">
        <v>2</v>
      </c>
      <c r="F11" s="4">
        <v>1150</v>
      </c>
      <c r="G11" s="4">
        <f t="shared" si="0"/>
        <v>-37</v>
      </c>
      <c r="H11" s="17" t="s">
        <v>52</v>
      </c>
      <c r="I11" s="4" t="s">
        <v>55</v>
      </c>
      <c r="J11" s="21">
        <f t="shared" si="2"/>
        <v>1.0332434860736748</v>
      </c>
      <c r="K11" s="25"/>
    </row>
    <row r="12" spans="1:11" s="5" customFormat="1" ht="30" customHeight="1" thickBot="1" x14ac:dyDescent="0.4">
      <c r="A12" s="8">
        <v>10</v>
      </c>
      <c r="B12" s="9" t="s">
        <v>31</v>
      </c>
      <c r="C12" s="10" t="s">
        <v>50</v>
      </c>
      <c r="D12" s="10">
        <v>8500</v>
      </c>
      <c r="E12" s="10">
        <v>6</v>
      </c>
      <c r="F12" s="10">
        <v>7900</v>
      </c>
      <c r="G12" s="10">
        <f t="shared" si="0"/>
        <v>600</v>
      </c>
      <c r="H12" s="19" t="s">
        <v>52</v>
      </c>
      <c r="I12" s="10" t="s">
        <v>47</v>
      </c>
      <c r="J12" s="23">
        <f t="shared" si="2"/>
        <v>0.92941176470588238</v>
      </c>
      <c r="K12" s="26"/>
    </row>
    <row r="16" spans="1:11" x14ac:dyDescent="0.4">
      <c r="I16" s="18" t="s">
        <v>52</v>
      </c>
    </row>
  </sheetData>
  <pageMargins left="0.7" right="0.7" top="0.75" bottom="0.75" header="0.3" footer="0.3"/>
  <pageSetup paperSize="9" scale="4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CE54-C981-4548-89F2-F4BCBA0CF9C7}">
  <sheetPr>
    <pageSetUpPr fitToPage="1"/>
  </sheetPr>
  <dimension ref="A4:E41"/>
  <sheetViews>
    <sheetView topLeftCell="A8" zoomScaleNormal="100" workbookViewId="0">
      <selection activeCell="J19" sqref="J19"/>
    </sheetView>
  </sheetViews>
  <sheetFormatPr defaultRowHeight="15" x14ac:dyDescent="0.25"/>
  <cols>
    <col min="1" max="1" width="13.5703125" bestFit="1" customWidth="1"/>
    <col min="2" max="2" width="9" bestFit="1" customWidth="1"/>
    <col min="3" max="3" width="8.42578125" bestFit="1" customWidth="1"/>
    <col min="4" max="4" width="15.42578125" bestFit="1" customWidth="1"/>
    <col min="5" max="5" width="29.5703125" customWidth="1"/>
  </cols>
  <sheetData>
    <row r="4" spans="1:5" ht="26.25" x14ac:dyDescent="0.4">
      <c r="A4" s="31" t="s">
        <v>59</v>
      </c>
      <c r="B4" s="30" t="s">
        <v>60</v>
      </c>
      <c r="C4" s="30" t="s">
        <v>61</v>
      </c>
      <c r="D4" s="30" t="s">
        <v>62</v>
      </c>
      <c r="E4" s="30" t="s">
        <v>67</v>
      </c>
    </row>
    <row r="5" spans="1:5" x14ac:dyDescent="0.25">
      <c r="A5" s="32"/>
      <c r="B5" s="33"/>
      <c r="C5" s="33"/>
      <c r="D5" s="33"/>
    </row>
    <row r="6" spans="1:5" ht="20.100000000000001" customHeight="1" x14ac:dyDescent="0.3">
      <c r="A6" s="36" t="s">
        <v>18</v>
      </c>
      <c r="B6" s="35"/>
      <c r="C6" s="35"/>
      <c r="D6" s="35"/>
      <c r="E6" s="35"/>
    </row>
    <row r="7" spans="1:5" ht="20.100000000000001" customHeight="1" x14ac:dyDescent="0.3">
      <c r="A7" s="36" t="s">
        <v>8</v>
      </c>
      <c r="B7" s="37">
        <v>38000</v>
      </c>
      <c r="C7" s="37">
        <v>6070</v>
      </c>
      <c r="D7" s="37">
        <v>20000</v>
      </c>
      <c r="E7" s="40">
        <v>21000</v>
      </c>
    </row>
    <row r="8" spans="1:5" ht="20.100000000000001" customHeight="1" x14ac:dyDescent="0.3">
      <c r="A8" s="36" t="s">
        <v>9</v>
      </c>
      <c r="B8" s="37">
        <v>25000</v>
      </c>
      <c r="C8" s="37">
        <v>11370</v>
      </c>
      <c r="D8" s="37">
        <f t="shared" ref="D8:D16" si="0">B8-C8</f>
        <v>13630</v>
      </c>
      <c r="E8" s="40">
        <v>14311.5</v>
      </c>
    </row>
    <row r="9" spans="1:5" ht="20.100000000000001" customHeight="1" x14ac:dyDescent="0.3">
      <c r="A9" s="36" t="s">
        <v>10</v>
      </c>
      <c r="B9" s="37">
        <v>25000</v>
      </c>
      <c r="C9" s="37">
        <v>11010</v>
      </c>
      <c r="D9" s="37">
        <f t="shared" si="0"/>
        <v>13990</v>
      </c>
      <c r="E9" s="40">
        <v>14689.5</v>
      </c>
    </row>
    <row r="10" spans="1:5" ht="20.100000000000001" customHeight="1" x14ac:dyDescent="0.3">
      <c r="A10" s="36" t="s">
        <v>11</v>
      </c>
      <c r="B10" s="37">
        <v>25000</v>
      </c>
      <c r="C10" s="37">
        <v>11150</v>
      </c>
      <c r="D10" s="37">
        <f t="shared" si="0"/>
        <v>13850</v>
      </c>
      <c r="E10" s="40">
        <v>14542.5</v>
      </c>
    </row>
    <row r="11" spans="1:5" ht="20.100000000000001" customHeight="1" x14ac:dyDescent="0.3">
      <c r="A11" s="36" t="s">
        <v>12</v>
      </c>
      <c r="B11" s="37">
        <v>24000</v>
      </c>
      <c r="C11" s="37">
        <v>11380</v>
      </c>
      <c r="D11" s="37">
        <f t="shared" si="0"/>
        <v>12620</v>
      </c>
      <c r="E11" s="40">
        <v>13251</v>
      </c>
    </row>
    <row r="12" spans="1:5" ht="20.100000000000001" customHeight="1" x14ac:dyDescent="0.3">
      <c r="A12" s="36" t="s">
        <v>13</v>
      </c>
      <c r="B12" s="37">
        <v>19000</v>
      </c>
      <c r="C12" s="37">
        <v>8750</v>
      </c>
      <c r="D12" s="37">
        <f t="shared" si="0"/>
        <v>10250</v>
      </c>
      <c r="E12" s="40">
        <v>10762.5</v>
      </c>
    </row>
    <row r="13" spans="1:5" ht="20.100000000000001" customHeight="1" x14ac:dyDescent="0.3">
      <c r="A13" s="36" t="s">
        <v>14</v>
      </c>
      <c r="B13" s="37">
        <v>7500</v>
      </c>
      <c r="C13" s="37">
        <v>4170</v>
      </c>
      <c r="D13" s="37">
        <f t="shared" si="0"/>
        <v>3330</v>
      </c>
      <c r="E13" s="40">
        <v>4200</v>
      </c>
    </row>
    <row r="14" spans="1:5" ht="20.100000000000001" customHeight="1" x14ac:dyDescent="0.3">
      <c r="A14" s="36" t="s">
        <v>15</v>
      </c>
      <c r="B14" s="37">
        <v>5000</v>
      </c>
      <c r="C14" s="37">
        <v>3280</v>
      </c>
      <c r="D14" s="37">
        <f t="shared" si="0"/>
        <v>1720</v>
      </c>
      <c r="E14" s="40">
        <v>4200</v>
      </c>
    </row>
    <row r="15" spans="1:5" ht="20.100000000000001" customHeight="1" x14ac:dyDescent="0.3">
      <c r="A15" s="36" t="s">
        <v>16</v>
      </c>
      <c r="B15" s="37">
        <v>5000</v>
      </c>
      <c r="C15" s="37">
        <v>3000</v>
      </c>
      <c r="D15" s="37">
        <f t="shared" si="0"/>
        <v>2000</v>
      </c>
      <c r="E15" s="40">
        <v>4200</v>
      </c>
    </row>
    <row r="16" spans="1:5" ht="20.100000000000001" customHeight="1" x14ac:dyDescent="0.3">
      <c r="A16" s="36" t="s">
        <v>17</v>
      </c>
      <c r="B16" s="37">
        <v>2800</v>
      </c>
      <c r="C16" s="37">
        <v>1740</v>
      </c>
      <c r="D16" s="37">
        <f t="shared" si="0"/>
        <v>1060</v>
      </c>
      <c r="E16" s="40">
        <v>1113</v>
      </c>
    </row>
    <row r="17" spans="1:5" ht="20.100000000000001" customHeight="1" x14ac:dyDescent="0.3">
      <c r="A17" s="35"/>
      <c r="B17" s="35"/>
      <c r="C17" s="35"/>
      <c r="D17" s="35"/>
      <c r="E17" s="41"/>
    </row>
    <row r="18" spans="1:5" ht="20.100000000000001" customHeight="1" x14ac:dyDescent="0.3">
      <c r="A18" s="36" t="s">
        <v>19</v>
      </c>
      <c r="B18" s="35"/>
      <c r="C18" s="35"/>
      <c r="D18" s="35"/>
      <c r="E18" s="41"/>
    </row>
    <row r="19" spans="1:5" ht="20.100000000000001" customHeight="1" x14ac:dyDescent="0.3">
      <c r="A19" s="36" t="s">
        <v>20</v>
      </c>
      <c r="B19" s="37">
        <v>24000</v>
      </c>
      <c r="C19" s="37">
        <v>11260</v>
      </c>
      <c r="D19" s="37">
        <f>B19-C19</f>
        <v>12740</v>
      </c>
      <c r="E19" s="40">
        <v>13377</v>
      </c>
    </row>
    <row r="20" spans="1:5" ht="20.100000000000001" customHeight="1" x14ac:dyDescent="0.3">
      <c r="A20" s="36" t="s">
        <v>21</v>
      </c>
      <c r="B20" s="37">
        <v>25000</v>
      </c>
      <c r="C20" s="37">
        <v>11510</v>
      </c>
      <c r="D20" s="37">
        <f t="shared" ref="D20:D27" si="1">B20-C20</f>
        <v>13490</v>
      </c>
      <c r="E20" s="40">
        <v>14164.5</v>
      </c>
    </row>
    <row r="21" spans="1:5" ht="20.100000000000001" customHeight="1" x14ac:dyDescent="0.3">
      <c r="A21" s="36" t="s">
        <v>22</v>
      </c>
      <c r="B21" s="37">
        <v>24000</v>
      </c>
      <c r="C21" s="37">
        <v>10930</v>
      </c>
      <c r="D21" s="37">
        <f t="shared" si="1"/>
        <v>13070</v>
      </c>
      <c r="E21" s="40">
        <v>13723.5</v>
      </c>
    </row>
    <row r="22" spans="1:5" ht="20.100000000000001" customHeight="1" x14ac:dyDescent="0.3">
      <c r="A22" s="36" t="s">
        <v>23</v>
      </c>
      <c r="B22" s="37">
        <v>19000</v>
      </c>
      <c r="C22" s="37">
        <v>9450</v>
      </c>
      <c r="D22" s="37">
        <f t="shared" si="1"/>
        <v>9550</v>
      </c>
      <c r="E22" s="40">
        <v>10027.5</v>
      </c>
    </row>
    <row r="23" spans="1:5" ht="20.100000000000001" customHeight="1" x14ac:dyDescent="0.3">
      <c r="A23" s="36" t="s">
        <v>24</v>
      </c>
      <c r="B23" s="37">
        <v>19000</v>
      </c>
      <c r="C23" s="37">
        <v>9110</v>
      </c>
      <c r="D23" s="37">
        <f t="shared" si="1"/>
        <v>9890</v>
      </c>
      <c r="E23" s="40">
        <v>10384.5</v>
      </c>
    </row>
    <row r="24" spans="1:5" ht="20.100000000000001" customHeight="1" x14ac:dyDescent="0.3">
      <c r="A24" s="36" t="s">
        <v>25</v>
      </c>
      <c r="B24" s="37">
        <v>8500</v>
      </c>
      <c r="C24" s="37">
        <v>4100</v>
      </c>
      <c r="D24" s="37">
        <f t="shared" si="1"/>
        <v>4400</v>
      </c>
      <c r="E24" s="40">
        <v>4620</v>
      </c>
    </row>
    <row r="25" spans="1:5" ht="20.100000000000001" customHeight="1" x14ac:dyDescent="0.3">
      <c r="A25" s="36" t="s">
        <v>26</v>
      </c>
      <c r="B25" s="37">
        <v>7500</v>
      </c>
      <c r="C25" s="37">
        <v>3340</v>
      </c>
      <c r="D25" s="37">
        <f t="shared" si="1"/>
        <v>4160</v>
      </c>
      <c r="E25" s="40">
        <v>4368</v>
      </c>
    </row>
    <row r="26" spans="1:5" ht="20.100000000000001" customHeight="1" x14ac:dyDescent="0.3">
      <c r="A26" s="36" t="s">
        <v>27</v>
      </c>
      <c r="B26" s="37">
        <v>5000</v>
      </c>
      <c r="C26" s="37">
        <v>3530</v>
      </c>
      <c r="D26" s="37">
        <f t="shared" si="1"/>
        <v>1470</v>
      </c>
      <c r="E26" s="40">
        <v>4200</v>
      </c>
    </row>
    <row r="27" spans="1:5" ht="20.100000000000001" customHeight="1" x14ac:dyDescent="0.3">
      <c r="A27" s="36" t="s">
        <v>28</v>
      </c>
      <c r="B27" s="37">
        <v>2800</v>
      </c>
      <c r="C27" s="37">
        <v>1710</v>
      </c>
      <c r="D27" s="37">
        <f t="shared" si="1"/>
        <v>1090</v>
      </c>
      <c r="E27" s="40">
        <v>1144.5</v>
      </c>
    </row>
    <row r="28" spans="1:5" ht="20.100000000000001" customHeight="1" x14ac:dyDescent="0.3">
      <c r="A28" s="36"/>
      <c r="B28" s="35"/>
      <c r="C28" s="35"/>
      <c r="D28" s="35"/>
      <c r="E28" s="41"/>
    </row>
    <row r="29" spans="1:5" ht="20.100000000000001" customHeight="1" x14ac:dyDescent="0.3">
      <c r="A29" s="36" t="s">
        <v>29</v>
      </c>
      <c r="B29" s="35"/>
      <c r="C29" s="35"/>
      <c r="D29" s="35"/>
      <c r="E29" s="41"/>
    </row>
    <row r="30" spans="1:5" ht="20.100000000000001" customHeight="1" x14ac:dyDescent="0.3">
      <c r="A30" s="36" t="s">
        <v>30</v>
      </c>
      <c r="B30" s="37">
        <v>24000</v>
      </c>
      <c r="C30" s="37">
        <v>11320</v>
      </c>
      <c r="D30" s="37">
        <f t="shared" ref="D30:D35" si="2">B30-C30</f>
        <v>12680</v>
      </c>
      <c r="E30" s="40">
        <v>13314</v>
      </c>
    </row>
    <row r="31" spans="1:5" ht="20.100000000000001" customHeight="1" x14ac:dyDescent="0.3">
      <c r="A31" s="36" t="s">
        <v>31</v>
      </c>
      <c r="B31" s="37">
        <v>14200</v>
      </c>
      <c r="C31" s="37">
        <v>5950</v>
      </c>
      <c r="D31" s="37">
        <f t="shared" si="2"/>
        <v>8250</v>
      </c>
      <c r="E31" s="40">
        <v>8662.5</v>
      </c>
    </row>
    <row r="32" spans="1:5" ht="20.100000000000001" customHeight="1" x14ac:dyDescent="0.3">
      <c r="A32" s="36" t="s">
        <v>32</v>
      </c>
      <c r="B32" s="37">
        <v>5000</v>
      </c>
      <c r="C32" s="37">
        <v>3380</v>
      </c>
      <c r="D32" s="37">
        <f t="shared" si="2"/>
        <v>1620</v>
      </c>
      <c r="E32" s="40">
        <v>4200</v>
      </c>
    </row>
    <row r="33" spans="1:5" ht="20.100000000000001" customHeight="1" x14ac:dyDescent="0.3">
      <c r="A33" s="35"/>
      <c r="B33" s="38"/>
      <c r="C33" s="38"/>
      <c r="D33" s="38"/>
      <c r="E33" s="41"/>
    </row>
    <row r="34" spans="1:5" ht="20.100000000000001" customHeight="1" x14ac:dyDescent="0.3">
      <c r="A34" s="36" t="s">
        <v>33</v>
      </c>
      <c r="B34" s="38"/>
      <c r="C34" s="38"/>
      <c r="D34" s="38"/>
      <c r="E34" s="41"/>
    </row>
    <row r="35" spans="1:5" ht="20.100000000000001" customHeight="1" x14ac:dyDescent="0.3">
      <c r="A35" s="36" t="s">
        <v>34</v>
      </c>
      <c r="B35" s="37">
        <v>13500</v>
      </c>
      <c r="C35" s="37">
        <v>5410</v>
      </c>
      <c r="D35" s="37">
        <f t="shared" si="2"/>
        <v>8090</v>
      </c>
      <c r="E35" s="40">
        <v>8494.5</v>
      </c>
    </row>
    <row r="36" spans="1:5" ht="20.100000000000001" customHeight="1" x14ac:dyDescent="0.3">
      <c r="A36" s="35"/>
      <c r="B36" s="38"/>
      <c r="C36" s="38"/>
      <c r="D36" s="38"/>
      <c r="E36" s="41"/>
    </row>
    <row r="37" spans="1:5" ht="20.100000000000001" customHeight="1" x14ac:dyDescent="0.3">
      <c r="A37" s="36" t="s">
        <v>63</v>
      </c>
      <c r="B37" s="38"/>
      <c r="C37" s="38"/>
      <c r="D37" s="38"/>
      <c r="E37" s="41"/>
    </row>
    <row r="38" spans="1:5" ht="20.100000000000001" customHeight="1" x14ac:dyDescent="0.3">
      <c r="A38" s="36" t="s">
        <v>64</v>
      </c>
      <c r="B38" s="37">
        <v>7500</v>
      </c>
      <c r="C38" s="37">
        <v>3470</v>
      </c>
      <c r="D38" s="37">
        <f t="shared" ref="D38:D39" si="3">B38-C38</f>
        <v>4030</v>
      </c>
      <c r="E38" s="40">
        <v>4231.5</v>
      </c>
    </row>
    <row r="39" spans="1:5" ht="20.100000000000001" customHeight="1" x14ac:dyDescent="0.3">
      <c r="A39" s="36" t="s">
        <v>65</v>
      </c>
      <c r="B39" s="37">
        <v>7500</v>
      </c>
      <c r="C39" s="37">
        <v>3910</v>
      </c>
      <c r="D39" s="37">
        <f t="shared" si="3"/>
        <v>3590</v>
      </c>
      <c r="E39" s="40">
        <v>4200</v>
      </c>
    </row>
    <row r="40" spans="1:5" ht="20.100000000000001" customHeight="1" x14ac:dyDescent="0.3">
      <c r="A40" s="36" t="s">
        <v>66</v>
      </c>
      <c r="B40" s="39">
        <v>7700</v>
      </c>
      <c r="C40" s="37">
        <v>3700</v>
      </c>
      <c r="D40" s="37">
        <f>B40-C40</f>
        <v>4000</v>
      </c>
      <c r="E40" s="40">
        <v>4200</v>
      </c>
    </row>
    <row r="41" spans="1:5" x14ac:dyDescent="0.25">
      <c r="E41" s="34"/>
    </row>
  </sheetData>
  <pageMargins left="0.7" right="0.7" top="0.75" bottom="0.75" header="0.3" footer="0.3"/>
  <pageSetup paperSize="9" scale="9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93B6-7CD8-4B1C-BCCE-53C84FB0C94C}">
  <dimension ref="A1:C32"/>
  <sheetViews>
    <sheetView workbookViewId="0">
      <selection sqref="A1:XFD1048576"/>
    </sheetView>
  </sheetViews>
  <sheetFormatPr defaultRowHeight="15" x14ac:dyDescent="0.25"/>
  <cols>
    <col min="3" max="3" width="77.85546875" bestFit="1" customWidth="1"/>
  </cols>
  <sheetData>
    <row r="1" spans="1:3" x14ac:dyDescent="0.25">
      <c r="A1" t="s">
        <v>148</v>
      </c>
    </row>
    <row r="3" spans="1:3" x14ac:dyDescent="0.25">
      <c r="A3">
        <v>66</v>
      </c>
      <c r="B3" t="s">
        <v>80</v>
      </c>
      <c r="C3" t="s">
        <v>88</v>
      </c>
    </row>
    <row r="4" spans="1:3" x14ac:dyDescent="0.25">
      <c r="A4">
        <v>67</v>
      </c>
      <c r="B4" t="s">
        <v>80</v>
      </c>
      <c r="C4" t="s">
        <v>89</v>
      </c>
    </row>
    <row r="5" spans="1:3" x14ac:dyDescent="0.25">
      <c r="A5">
        <v>68</v>
      </c>
      <c r="B5" t="s">
        <v>80</v>
      </c>
      <c r="C5" t="s">
        <v>90</v>
      </c>
    </row>
    <row r="6" spans="1:3" x14ac:dyDescent="0.25">
      <c r="A6">
        <v>69</v>
      </c>
      <c r="B6" t="s">
        <v>80</v>
      </c>
      <c r="C6" t="s">
        <v>91</v>
      </c>
    </row>
    <row r="7" spans="1:3" x14ac:dyDescent="0.25">
      <c r="A7">
        <v>71</v>
      </c>
      <c r="B7" t="s">
        <v>80</v>
      </c>
      <c r="C7" t="s">
        <v>93</v>
      </c>
    </row>
    <row r="8" spans="1:3" x14ac:dyDescent="0.25">
      <c r="A8">
        <v>72</v>
      </c>
      <c r="B8" t="s">
        <v>80</v>
      </c>
      <c r="C8" t="s">
        <v>94</v>
      </c>
    </row>
    <row r="9" spans="1:3" x14ac:dyDescent="0.25">
      <c r="A9">
        <v>73</v>
      </c>
      <c r="B9" t="s">
        <v>80</v>
      </c>
      <c r="C9" t="s">
        <v>95</v>
      </c>
    </row>
    <row r="10" spans="1:3" x14ac:dyDescent="0.25">
      <c r="A10">
        <v>74</v>
      </c>
      <c r="B10" t="s">
        <v>80</v>
      </c>
      <c r="C10" t="s">
        <v>96</v>
      </c>
    </row>
    <row r="11" spans="1:3" x14ac:dyDescent="0.25">
      <c r="A11">
        <v>75</v>
      </c>
      <c r="B11" t="s">
        <v>80</v>
      </c>
      <c r="C11" t="s">
        <v>97</v>
      </c>
    </row>
    <row r="12" spans="1:3" x14ac:dyDescent="0.25">
      <c r="A12">
        <v>76</v>
      </c>
      <c r="B12" t="s">
        <v>80</v>
      </c>
      <c r="C12" t="s">
        <v>98</v>
      </c>
    </row>
    <row r="13" spans="1:3" x14ac:dyDescent="0.25">
      <c r="A13">
        <v>77</v>
      </c>
      <c r="B13" t="s">
        <v>80</v>
      </c>
      <c r="C13" t="s">
        <v>99</v>
      </c>
    </row>
    <row r="14" spans="1:3" x14ac:dyDescent="0.25">
      <c r="A14">
        <v>78</v>
      </c>
      <c r="B14" t="s">
        <v>80</v>
      </c>
      <c r="C14" t="s">
        <v>100</v>
      </c>
    </row>
    <row r="15" spans="1:3" x14ac:dyDescent="0.25">
      <c r="A15">
        <v>83</v>
      </c>
      <c r="B15" t="s">
        <v>80</v>
      </c>
      <c r="C15" t="s">
        <v>105</v>
      </c>
    </row>
    <row r="16" spans="1:3" x14ac:dyDescent="0.25">
      <c r="A16">
        <v>84</v>
      </c>
      <c r="B16" t="s">
        <v>80</v>
      </c>
      <c r="C16" t="s">
        <v>106</v>
      </c>
    </row>
    <row r="17" spans="1:3" x14ac:dyDescent="0.25">
      <c r="A17">
        <v>85</v>
      </c>
      <c r="B17" t="s">
        <v>80</v>
      </c>
      <c r="C17" t="s">
        <v>107</v>
      </c>
    </row>
    <row r="18" spans="1:3" x14ac:dyDescent="0.25">
      <c r="A18">
        <v>45</v>
      </c>
      <c r="B18" t="s">
        <v>80</v>
      </c>
      <c r="C18" t="s">
        <v>111</v>
      </c>
    </row>
    <row r="19" spans="1:3" x14ac:dyDescent="0.25">
      <c r="A19">
        <v>25</v>
      </c>
      <c r="B19" t="s">
        <v>80</v>
      </c>
      <c r="C19" t="s">
        <v>117</v>
      </c>
    </row>
    <row r="20" spans="1:3" x14ac:dyDescent="0.25">
      <c r="A20">
        <v>26</v>
      </c>
      <c r="B20" t="s">
        <v>80</v>
      </c>
      <c r="C20" t="s">
        <v>118</v>
      </c>
    </row>
    <row r="21" spans="1:3" x14ac:dyDescent="0.25">
      <c r="A21">
        <v>27</v>
      </c>
      <c r="B21" t="s">
        <v>80</v>
      </c>
      <c r="C21" t="s">
        <v>119</v>
      </c>
    </row>
    <row r="22" spans="1:3" x14ac:dyDescent="0.25">
      <c r="A22">
        <v>28</v>
      </c>
      <c r="B22" t="s">
        <v>80</v>
      </c>
      <c r="C22" t="s">
        <v>122</v>
      </c>
    </row>
    <row r="23" spans="1:3" x14ac:dyDescent="0.25">
      <c r="A23">
        <v>39</v>
      </c>
      <c r="B23" t="s">
        <v>80</v>
      </c>
      <c r="C23" t="s">
        <v>123</v>
      </c>
    </row>
    <row r="24" spans="1:3" x14ac:dyDescent="0.25">
      <c r="A24">
        <v>29</v>
      </c>
      <c r="B24" t="s">
        <v>80</v>
      </c>
      <c r="C24" t="s">
        <v>124</v>
      </c>
    </row>
    <row r="25" spans="1:3" x14ac:dyDescent="0.25">
      <c r="A25">
        <v>40</v>
      </c>
      <c r="B25" t="s">
        <v>80</v>
      </c>
      <c r="C25" t="s">
        <v>125</v>
      </c>
    </row>
    <row r="26" spans="1:3" x14ac:dyDescent="0.25">
      <c r="A26">
        <v>30</v>
      </c>
      <c r="B26" t="s">
        <v>80</v>
      </c>
      <c r="C26" t="s">
        <v>126</v>
      </c>
    </row>
    <row r="27" spans="1:3" x14ac:dyDescent="0.25">
      <c r="A27">
        <v>41</v>
      </c>
      <c r="B27" t="s">
        <v>80</v>
      </c>
      <c r="C27" t="s">
        <v>127</v>
      </c>
    </row>
    <row r="28" spans="1:3" x14ac:dyDescent="0.25">
      <c r="A28">
        <v>31</v>
      </c>
      <c r="B28" t="s">
        <v>80</v>
      </c>
      <c r="C28" t="s">
        <v>128</v>
      </c>
    </row>
    <row r="29" spans="1:3" x14ac:dyDescent="0.25">
      <c r="A29">
        <v>32</v>
      </c>
      <c r="B29" t="s">
        <v>80</v>
      </c>
      <c r="C29" t="s">
        <v>129</v>
      </c>
    </row>
    <row r="30" spans="1:3" x14ac:dyDescent="0.25">
      <c r="A30">
        <v>60</v>
      </c>
      <c r="B30" t="s">
        <v>80</v>
      </c>
      <c r="C30" t="s">
        <v>130</v>
      </c>
    </row>
    <row r="31" spans="1:3" x14ac:dyDescent="0.25">
      <c r="A31">
        <v>61</v>
      </c>
      <c r="B31" t="s">
        <v>80</v>
      </c>
      <c r="C31" t="s">
        <v>131</v>
      </c>
    </row>
    <row r="32" spans="1:3" x14ac:dyDescent="0.25">
      <c r="A32">
        <v>37</v>
      </c>
      <c r="B32" t="s">
        <v>80</v>
      </c>
      <c r="C32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BE9D-3E54-4CDA-9067-74F9F8812A38}">
  <dimension ref="A1:C26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149</v>
      </c>
    </row>
    <row r="3" spans="1:3" x14ac:dyDescent="0.25">
      <c r="A3">
        <v>2</v>
      </c>
      <c r="B3" t="s">
        <v>80</v>
      </c>
      <c r="C3" t="s">
        <v>81</v>
      </c>
    </row>
    <row r="4" spans="1:3" x14ac:dyDescent="0.25">
      <c r="A4">
        <v>3</v>
      </c>
      <c r="B4" t="s">
        <v>80</v>
      </c>
      <c r="C4" t="s">
        <v>82</v>
      </c>
    </row>
    <row r="5" spans="1:3" x14ac:dyDescent="0.25">
      <c r="A5">
        <v>4</v>
      </c>
      <c r="B5" t="s">
        <v>80</v>
      </c>
      <c r="C5" t="s">
        <v>83</v>
      </c>
    </row>
    <row r="6" spans="1:3" x14ac:dyDescent="0.25">
      <c r="A6">
        <v>5</v>
      </c>
      <c r="B6" t="s">
        <v>80</v>
      </c>
      <c r="C6" t="s">
        <v>84</v>
      </c>
    </row>
    <row r="7" spans="1:3" x14ac:dyDescent="0.25">
      <c r="A7">
        <v>6</v>
      </c>
      <c r="B7" t="s">
        <v>80</v>
      </c>
      <c r="C7" t="s">
        <v>85</v>
      </c>
    </row>
    <row r="8" spans="1:3" x14ac:dyDescent="0.25">
      <c r="A8">
        <v>70</v>
      </c>
      <c r="B8" t="s">
        <v>80</v>
      </c>
      <c r="C8" t="s">
        <v>92</v>
      </c>
    </row>
    <row r="9" spans="1:3" x14ac:dyDescent="0.25">
      <c r="A9">
        <v>79</v>
      </c>
      <c r="B9" t="s">
        <v>80</v>
      </c>
      <c r="C9" t="s">
        <v>101</v>
      </c>
    </row>
    <row r="10" spans="1:3" x14ac:dyDescent="0.25">
      <c r="A10">
        <v>80</v>
      </c>
      <c r="B10" t="s">
        <v>80</v>
      </c>
      <c r="C10" t="s">
        <v>102</v>
      </c>
    </row>
    <row r="11" spans="1:3" x14ac:dyDescent="0.25">
      <c r="A11">
        <v>81</v>
      </c>
      <c r="B11" t="s">
        <v>80</v>
      </c>
      <c r="C11" t="s">
        <v>103</v>
      </c>
    </row>
    <row r="12" spans="1:3" x14ac:dyDescent="0.25">
      <c r="A12">
        <v>82</v>
      </c>
      <c r="B12" t="s">
        <v>80</v>
      </c>
      <c r="C12" t="s">
        <v>104</v>
      </c>
    </row>
    <row r="13" spans="1:3" x14ac:dyDescent="0.25">
      <c r="A13">
        <v>86</v>
      </c>
      <c r="B13" t="s">
        <v>80</v>
      </c>
      <c r="C13" t="s">
        <v>108</v>
      </c>
    </row>
    <row r="14" spans="1:3" x14ac:dyDescent="0.25">
      <c r="A14">
        <v>87</v>
      </c>
      <c r="B14" t="s">
        <v>80</v>
      </c>
      <c r="C14" t="s">
        <v>109</v>
      </c>
    </row>
    <row r="15" spans="1:3" x14ac:dyDescent="0.25">
      <c r="A15">
        <v>88</v>
      </c>
      <c r="B15" t="s">
        <v>80</v>
      </c>
      <c r="C15" t="s">
        <v>110</v>
      </c>
    </row>
    <row r="16" spans="1:3" x14ac:dyDescent="0.25">
      <c r="A16">
        <v>89</v>
      </c>
      <c r="B16" t="s">
        <v>80</v>
      </c>
      <c r="C16" t="s">
        <v>112</v>
      </c>
    </row>
    <row r="17" spans="1:3" x14ac:dyDescent="0.25">
      <c r="A17">
        <v>90</v>
      </c>
      <c r="B17" t="s">
        <v>80</v>
      </c>
      <c r="C17" t="s">
        <v>113</v>
      </c>
    </row>
    <row r="18" spans="1:3" x14ac:dyDescent="0.25">
      <c r="A18">
        <v>23</v>
      </c>
      <c r="B18" t="s">
        <v>80</v>
      </c>
      <c r="C18" t="s">
        <v>114</v>
      </c>
    </row>
    <row r="19" spans="1:3" x14ac:dyDescent="0.25">
      <c r="A19">
        <v>24</v>
      </c>
      <c r="B19" t="s">
        <v>80</v>
      </c>
      <c r="C19" t="s">
        <v>116</v>
      </c>
    </row>
    <row r="20" spans="1:3" x14ac:dyDescent="0.25">
      <c r="A20">
        <v>33</v>
      </c>
      <c r="B20" t="s">
        <v>80</v>
      </c>
      <c r="C20" t="s">
        <v>132</v>
      </c>
    </row>
    <row r="21" spans="1:3" x14ac:dyDescent="0.25">
      <c r="A21">
        <v>34</v>
      </c>
      <c r="B21" t="s">
        <v>80</v>
      </c>
      <c r="C21" t="s">
        <v>133</v>
      </c>
    </row>
    <row r="22" spans="1:3" x14ac:dyDescent="0.25">
      <c r="A22">
        <v>35</v>
      </c>
      <c r="B22" t="s">
        <v>80</v>
      </c>
      <c r="C22" t="s">
        <v>135</v>
      </c>
    </row>
    <row r="23" spans="1:3" x14ac:dyDescent="0.25">
      <c r="A23">
        <v>36</v>
      </c>
      <c r="B23" t="s">
        <v>80</v>
      </c>
      <c r="C23" t="s">
        <v>136</v>
      </c>
    </row>
    <row r="24" spans="1:3" x14ac:dyDescent="0.25">
      <c r="A24">
        <v>92</v>
      </c>
      <c r="B24" t="s">
        <v>80</v>
      </c>
      <c r="C24" t="s">
        <v>137</v>
      </c>
    </row>
    <row r="25" spans="1:3" x14ac:dyDescent="0.25">
      <c r="A25">
        <v>93</v>
      </c>
      <c r="B25" t="s">
        <v>80</v>
      </c>
      <c r="C25" t="s">
        <v>146</v>
      </c>
    </row>
    <row r="26" spans="1:3" x14ac:dyDescent="0.25">
      <c r="A26">
        <v>94</v>
      </c>
      <c r="B26" t="s">
        <v>80</v>
      </c>
      <c r="C26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908D-3A9A-4301-9740-379B31A7722E}">
  <dimension ref="A1:C13"/>
  <sheetViews>
    <sheetView workbookViewId="0">
      <selection activeCell="M9" sqref="M9"/>
    </sheetView>
  </sheetViews>
  <sheetFormatPr defaultRowHeight="15" x14ac:dyDescent="0.25"/>
  <sheetData>
    <row r="1" spans="1:3" x14ac:dyDescent="0.25">
      <c r="A1" t="s">
        <v>150</v>
      </c>
    </row>
    <row r="3" spans="1:3" x14ac:dyDescent="0.25">
      <c r="A3">
        <v>64</v>
      </c>
      <c r="B3" t="s">
        <v>80</v>
      </c>
      <c r="C3" t="s">
        <v>86</v>
      </c>
    </row>
    <row r="4" spans="1:3" x14ac:dyDescent="0.25">
      <c r="A4">
        <v>58</v>
      </c>
      <c r="B4" t="s">
        <v>80</v>
      </c>
      <c r="C4" t="s">
        <v>87</v>
      </c>
    </row>
    <row r="5" spans="1:3" x14ac:dyDescent="0.25">
      <c r="A5">
        <v>62</v>
      </c>
      <c r="B5" t="s">
        <v>80</v>
      </c>
      <c r="C5" t="s">
        <v>120</v>
      </c>
    </row>
    <row r="6" spans="1:3" x14ac:dyDescent="0.25">
      <c r="A6">
        <v>63</v>
      </c>
      <c r="B6" t="s">
        <v>80</v>
      </c>
      <c r="C6" t="s">
        <v>121</v>
      </c>
    </row>
    <row r="7" spans="1:3" x14ac:dyDescent="0.25">
      <c r="A7">
        <v>91</v>
      </c>
      <c r="B7" t="s">
        <v>80</v>
      </c>
      <c r="C7" t="s">
        <v>134</v>
      </c>
    </row>
    <row r="8" spans="1:3" x14ac:dyDescent="0.25">
      <c r="A8">
        <v>54</v>
      </c>
      <c r="B8" t="s">
        <v>80</v>
      </c>
      <c r="C8" t="s">
        <v>138</v>
      </c>
    </row>
    <row r="9" spans="1:3" x14ac:dyDescent="0.25">
      <c r="A9">
        <v>57</v>
      </c>
      <c r="B9" t="s">
        <v>80</v>
      </c>
      <c r="C9" t="s">
        <v>139</v>
      </c>
    </row>
    <row r="10" spans="1:3" x14ac:dyDescent="0.25">
      <c r="A10">
        <v>59</v>
      </c>
      <c r="B10" t="s">
        <v>80</v>
      </c>
      <c r="C10" t="s">
        <v>140</v>
      </c>
    </row>
    <row r="11" spans="1:3" x14ac:dyDescent="0.25">
      <c r="A11">
        <v>56</v>
      </c>
      <c r="B11" t="s">
        <v>80</v>
      </c>
      <c r="C11" t="s">
        <v>141</v>
      </c>
    </row>
    <row r="12" spans="1:3" x14ac:dyDescent="0.25">
      <c r="A12">
        <v>55</v>
      </c>
      <c r="B12" t="s">
        <v>80</v>
      </c>
      <c r="C12" t="s">
        <v>142</v>
      </c>
    </row>
    <row r="13" spans="1:3" x14ac:dyDescent="0.25">
      <c r="A13">
        <v>65</v>
      </c>
      <c r="B13" t="s">
        <v>80</v>
      </c>
      <c r="C13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3920-40DC-4BED-BE6B-4B26A7F6E4E4}">
  <dimension ref="A1:C96"/>
  <sheetViews>
    <sheetView tabSelected="1" workbookViewId="0">
      <selection activeCell="G28" sqref="G27:G28"/>
    </sheetView>
  </sheetViews>
  <sheetFormatPr defaultRowHeight="15" x14ac:dyDescent="0.25"/>
  <cols>
    <col min="1" max="1" width="10.5703125" bestFit="1" customWidth="1"/>
    <col min="2" max="2" width="7.85546875" bestFit="1" customWidth="1"/>
    <col min="3" max="3" width="77.85546875" bestFit="1" customWidth="1"/>
  </cols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 s="51">
        <v>2</v>
      </c>
      <c r="B2" s="52" t="s">
        <v>80</v>
      </c>
      <c r="C2" s="52" t="s">
        <v>81</v>
      </c>
    </row>
    <row r="3" spans="1:3" x14ac:dyDescent="0.25">
      <c r="A3" s="51">
        <v>3</v>
      </c>
      <c r="B3" s="52" t="s">
        <v>80</v>
      </c>
      <c r="C3" s="52" t="s">
        <v>82</v>
      </c>
    </row>
    <row r="4" spans="1:3" x14ac:dyDescent="0.25">
      <c r="A4" s="51">
        <v>4</v>
      </c>
      <c r="B4" s="52" t="s">
        <v>80</v>
      </c>
      <c r="C4" s="52" t="s">
        <v>83</v>
      </c>
    </row>
    <row r="5" spans="1:3" x14ac:dyDescent="0.25">
      <c r="A5" s="51">
        <v>5</v>
      </c>
      <c r="B5" s="52" t="s">
        <v>80</v>
      </c>
      <c r="C5" s="52" t="s">
        <v>84</v>
      </c>
    </row>
    <row r="6" spans="1:3" x14ac:dyDescent="0.25">
      <c r="A6" s="51">
        <v>6</v>
      </c>
      <c r="B6" s="52" t="s">
        <v>80</v>
      </c>
      <c r="C6" s="52" t="s">
        <v>85</v>
      </c>
    </row>
    <row r="7" spans="1:3" x14ac:dyDescent="0.25">
      <c r="A7" s="51">
        <v>64</v>
      </c>
      <c r="B7" s="52" t="s">
        <v>80</v>
      </c>
      <c r="C7" s="52" t="s">
        <v>86</v>
      </c>
    </row>
    <row r="8" spans="1:3" x14ac:dyDescent="0.25">
      <c r="A8" s="51">
        <v>58</v>
      </c>
      <c r="B8" s="52" t="s">
        <v>80</v>
      </c>
      <c r="C8" s="52" t="s">
        <v>87</v>
      </c>
    </row>
    <row r="9" spans="1:3" x14ac:dyDescent="0.25">
      <c r="A9" s="51">
        <v>66</v>
      </c>
      <c r="B9" s="52" t="s">
        <v>80</v>
      </c>
      <c r="C9" s="52" t="s">
        <v>88</v>
      </c>
    </row>
    <row r="10" spans="1:3" x14ac:dyDescent="0.25">
      <c r="A10" s="51">
        <v>67</v>
      </c>
      <c r="B10" s="52" t="s">
        <v>80</v>
      </c>
      <c r="C10" s="52" t="s">
        <v>89</v>
      </c>
    </row>
    <row r="11" spans="1:3" x14ac:dyDescent="0.25">
      <c r="A11" s="51">
        <v>68</v>
      </c>
      <c r="B11" s="52" t="s">
        <v>80</v>
      </c>
      <c r="C11" s="52" t="s">
        <v>90</v>
      </c>
    </row>
    <row r="12" spans="1:3" x14ac:dyDescent="0.25">
      <c r="A12" s="51">
        <v>69</v>
      </c>
      <c r="B12" s="52" t="s">
        <v>80</v>
      </c>
      <c r="C12" s="52" t="s">
        <v>91</v>
      </c>
    </row>
    <row r="13" spans="1:3" x14ac:dyDescent="0.25">
      <c r="A13" s="51">
        <v>70</v>
      </c>
      <c r="B13" s="52" t="s">
        <v>80</v>
      </c>
      <c r="C13" s="52" t="s">
        <v>92</v>
      </c>
    </row>
    <row r="14" spans="1:3" x14ac:dyDescent="0.25">
      <c r="A14" s="51">
        <v>71</v>
      </c>
      <c r="B14" s="52" t="s">
        <v>80</v>
      </c>
      <c r="C14" s="52" t="s">
        <v>93</v>
      </c>
    </row>
    <row r="15" spans="1:3" x14ac:dyDescent="0.25">
      <c r="A15" s="51">
        <v>72</v>
      </c>
      <c r="B15" s="52" t="s">
        <v>80</v>
      </c>
      <c r="C15" s="52" t="s">
        <v>94</v>
      </c>
    </row>
    <row r="16" spans="1:3" x14ac:dyDescent="0.25">
      <c r="A16" s="51">
        <v>73</v>
      </c>
      <c r="B16" s="52" t="s">
        <v>80</v>
      </c>
      <c r="C16" s="52" t="s">
        <v>95</v>
      </c>
    </row>
    <row r="17" spans="1:3" x14ac:dyDescent="0.25">
      <c r="A17" s="51">
        <v>74</v>
      </c>
      <c r="B17" s="52" t="s">
        <v>80</v>
      </c>
      <c r="C17" s="52" t="s">
        <v>96</v>
      </c>
    </row>
    <row r="18" spans="1:3" x14ac:dyDescent="0.25">
      <c r="A18" s="51">
        <v>75</v>
      </c>
      <c r="B18" s="52" t="s">
        <v>80</v>
      </c>
      <c r="C18" s="52" t="s">
        <v>97</v>
      </c>
    </row>
    <row r="19" spans="1:3" x14ac:dyDescent="0.25">
      <c r="A19" s="51">
        <v>76</v>
      </c>
      <c r="B19" s="52" t="s">
        <v>80</v>
      </c>
      <c r="C19" s="52" t="s">
        <v>98</v>
      </c>
    </row>
    <row r="20" spans="1:3" x14ac:dyDescent="0.25">
      <c r="A20" s="51">
        <v>77</v>
      </c>
      <c r="B20" s="52" t="s">
        <v>80</v>
      </c>
      <c r="C20" s="52" t="s">
        <v>99</v>
      </c>
    </row>
    <row r="21" spans="1:3" x14ac:dyDescent="0.25">
      <c r="A21" s="51">
        <v>78</v>
      </c>
      <c r="B21" s="52" t="s">
        <v>80</v>
      </c>
      <c r="C21" s="52" t="s">
        <v>100</v>
      </c>
    </row>
    <row r="22" spans="1:3" x14ac:dyDescent="0.25">
      <c r="A22" s="51">
        <v>79</v>
      </c>
      <c r="B22" s="52" t="s">
        <v>80</v>
      </c>
      <c r="C22" s="52" t="s">
        <v>101</v>
      </c>
    </row>
    <row r="23" spans="1:3" x14ac:dyDescent="0.25">
      <c r="A23" s="51">
        <v>80</v>
      </c>
      <c r="B23" s="52" t="s">
        <v>80</v>
      </c>
      <c r="C23" s="52" t="s">
        <v>102</v>
      </c>
    </row>
    <row r="24" spans="1:3" x14ac:dyDescent="0.25">
      <c r="A24" s="51">
        <v>81</v>
      </c>
      <c r="B24" s="52" t="s">
        <v>80</v>
      </c>
      <c r="C24" s="52" t="s">
        <v>103</v>
      </c>
    </row>
    <row r="25" spans="1:3" x14ac:dyDescent="0.25">
      <c r="A25" s="51">
        <v>82</v>
      </c>
      <c r="B25" s="52" t="s">
        <v>80</v>
      </c>
      <c r="C25" s="52" t="s">
        <v>104</v>
      </c>
    </row>
    <row r="26" spans="1:3" x14ac:dyDescent="0.25">
      <c r="A26" s="51">
        <v>83</v>
      </c>
      <c r="B26" s="52" t="s">
        <v>80</v>
      </c>
      <c r="C26" s="52" t="s">
        <v>105</v>
      </c>
    </row>
    <row r="27" spans="1:3" x14ac:dyDescent="0.25">
      <c r="A27" s="51">
        <v>84</v>
      </c>
      <c r="B27" s="52" t="s">
        <v>80</v>
      </c>
      <c r="C27" s="52" t="s">
        <v>106</v>
      </c>
    </row>
    <row r="28" spans="1:3" x14ac:dyDescent="0.25">
      <c r="A28" s="51">
        <v>85</v>
      </c>
      <c r="B28" s="52" t="s">
        <v>80</v>
      </c>
      <c r="C28" s="52" t="s">
        <v>107</v>
      </c>
    </row>
    <row r="29" spans="1:3" x14ac:dyDescent="0.25">
      <c r="A29" s="51">
        <v>86</v>
      </c>
      <c r="B29" s="52" t="s">
        <v>80</v>
      </c>
      <c r="C29" s="52" t="s">
        <v>108</v>
      </c>
    </row>
    <row r="30" spans="1:3" x14ac:dyDescent="0.25">
      <c r="A30" s="51">
        <v>87</v>
      </c>
      <c r="B30" s="52" t="s">
        <v>80</v>
      </c>
      <c r="C30" s="52" t="s">
        <v>109</v>
      </c>
    </row>
    <row r="31" spans="1:3" x14ac:dyDescent="0.25">
      <c r="A31" s="51">
        <v>88</v>
      </c>
      <c r="B31" s="52" t="s">
        <v>80</v>
      </c>
      <c r="C31" s="52" t="s">
        <v>110</v>
      </c>
    </row>
    <row r="32" spans="1:3" x14ac:dyDescent="0.25">
      <c r="A32" s="51">
        <v>45</v>
      </c>
      <c r="B32" s="52" t="s">
        <v>80</v>
      </c>
      <c r="C32" s="52" t="s">
        <v>111</v>
      </c>
    </row>
    <row r="33" spans="1:3" x14ac:dyDescent="0.25">
      <c r="A33" s="51">
        <v>89</v>
      </c>
      <c r="B33" s="52" t="s">
        <v>80</v>
      </c>
      <c r="C33" s="52" t="s">
        <v>112</v>
      </c>
    </row>
    <row r="34" spans="1:3" x14ac:dyDescent="0.25">
      <c r="A34" s="51">
        <v>90</v>
      </c>
      <c r="B34" s="52" t="s">
        <v>80</v>
      </c>
      <c r="C34" s="52" t="s">
        <v>113</v>
      </c>
    </row>
    <row r="35" spans="1:3" x14ac:dyDescent="0.25">
      <c r="A35" s="51">
        <v>23</v>
      </c>
      <c r="B35" s="52" t="s">
        <v>80</v>
      </c>
      <c r="C35" s="52" t="s">
        <v>114</v>
      </c>
    </row>
    <row r="36" spans="1:3" x14ac:dyDescent="0.25">
      <c r="A36" s="51">
        <v>1</v>
      </c>
      <c r="B36" s="52" t="s">
        <v>80</v>
      </c>
      <c r="C36" s="52" t="s">
        <v>115</v>
      </c>
    </row>
    <row r="37" spans="1:3" x14ac:dyDescent="0.25">
      <c r="A37" s="51">
        <v>7</v>
      </c>
      <c r="B37" s="52" t="s">
        <v>80</v>
      </c>
      <c r="C37" s="52" t="s">
        <v>115</v>
      </c>
    </row>
    <row r="38" spans="1:3" x14ac:dyDescent="0.25">
      <c r="A38" s="51">
        <v>8</v>
      </c>
      <c r="B38" s="52" t="s">
        <v>80</v>
      </c>
      <c r="C38" s="52" t="s">
        <v>115</v>
      </c>
    </row>
    <row r="39" spans="1:3" x14ac:dyDescent="0.25">
      <c r="A39" s="51">
        <v>9</v>
      </c>
      <c r="B39" s="52" t="s">
        <v>80</v>
      </c>
      <c r="C39" s="52" t="s">
        <v>115</v>
      </c>
    </row>
    <row r="40" spans="1:3" x14ac:dyDescent="0.25">
      <c r="A40" s="51">
        <v>10</v>
      </c>
      <c r="B40" s="52" t="s">
        <v>80</v>
      </c>
      <c r="C40" s="52" t="s">
        <v>115</v>
      </c>
    </row>
    <row r="41" spans="1:3" x14ac:dyDescent="0.25">
      <c r="A41" s="51">
        <v>11</v>
      </c>
      <c r="B41" s="52" t="s">
        <v>80</v>
      </c>
      <c r="C41" s="52" t="s">
        <v>115</v>
      </c>
    </row>
    <row r="42" spans="1:3" x14ac:dyDescent="0.25">
      <c r="A42" s="51">
        <v>12</v>
      </c>
      <c r="B42" s="52" t="s">
        <v>80</v>
      </c>
      <c r="C42" s="52" t="s">
        <v>115</v>
      </c>
    </row>
    <row r="43" spans="1:3" x14ac:dyDescent="0.25">
      <c r="A43" s="51">
        <v>13</v>
      </c>
      <c r="B43" s="52" t="s">
        <v>80</v>
      </c>
      <c r="C43" s="52" t="s">
        <v>115</v>
      </c>
    </row>
    <row r="44" spans="1:3" x14ac:dyDescent="0.25">
      <c r="A44" s="51">
        <v>14</v>
      </c>
      <c r="B44" s="52" t="s">
        <v>80</v>
      </c>
      <c r="C44" s="52" t="s">
        <v>115</v>
      </c>
    </row>
    <row r="45" spans="1:3" x14ac:dyDescent="0.25">
      <c r="A45" s="51">
        <v>15</v>
      </c>
      <c r="B45" s="52" t="s">
        <v>80</v>
      </c>
      <c r="C45" s="52" t="s">
        <v>115</v>
      </c>
    </row>
    <row r="46" spans="1:3" x14ac:dyDescent="0.25">
      <c r="A46" s="51">
        <v>16</v>
      </c>
      <c r="B46" s="52" t="s">
        <v>80</v>
      </c>
      <c r="C46" s="52" t="s">
        <v>115</v>
      </c>
    </row>
    <row r="47" spans="1:3" x14ac:dyDescent="0.25">
      <c r="A47" s="51">
        <v>17</v>
      </c>
      <c r="B47" s="52" t="s">
        <v>80</v>
      </c>
      <c r="C47" s="52" t="s">
        <v>115</v>
      </c>
    </row>
    <row r="48" spans="1:3" x14ac:dyDescent="0.25">
      <c r="A48" s="51">
        <v>18</v>
      </c>
      <c r="B48" s="52" t="s">
        <v>80</v>
      </c>
      <c r="C48" s="52" t="s">
        <v>115</v>
      </c>
    </row>
    <row r="49" spans="1:3" x14ac:dyDescent="0.25">
      <c r="A49" s="51">
        <v>19</v>
      </c>
      <c r="B49" s="52" t="s">
        <v>80</v>
      </c>
      <c r="C49" s="52" t="s">
        <v>115</v>
      </c>
    </row>
    <row r="50" spans="1:3" x14ac:dyDescent="0.25">
      <c r="A50" s="51">
        <v>20</v>
      </c>
      <c r="B50" s="52" t="s">
        <v>80</v>
      </c>
      <c r="C50" s="52" t="s">
        <v>115</v>
      </c>
    </row>
    <row r="51" spans="1:3" x14ac:dyDescent="0.25">
      <c r="A51" s="51">
        <v>21</v>
      </c>
      <c r="B51" s="52" t="s">
        <v>80</v>
      </c>
      <c r="C51" s="52" t="s">
        <v>115</v>
      </c>
    </row>
    <row r="52" spans="1:3" x14ac:dyDescent="0.25">
      <c r="A52" s="51">
        <v>22</v>
      </c>
      <c r="B52" s="52" t="s">
        <v>80</v>
      </c>
      <c r="C52" s="52" t="s">
        <v>115</v>
      </c>
    </row>
    <row r="53" spans="1:3" x14ac:dyDescent="0.25">
      <c r="A53" s="51">
        <v>42</v>
      </c>
      <c r="B53" s="52" t="s">
        <v>80</v>
      </c>
      <c r="C53" s="52" t="s">
        <v>115</v>
      </c>
    </row>
    <row r="54" spans="1:3" x14ac:dyDescent="0.25">
      <c r="A54" s="51">
        <v>43</v>
      </c>
      <c r="B54" s="52" t="s">
        <v>80</v>
      </c>
      <c r="C54" s="52" t="s">
        <v>115</v>
      </c>
    </row>
    <row r="55" spans="1:3" x14ac:dyDescent="0.25">
      <c r="A55" s="51">
        <v>44</v>
      </c>
      <c r="B55" s="52" t="s">
        <v>80</v>
      </c>
      <c r="C55" s="52" t="s">
        <v>115</v>
      </c>
    </row>
    <row r="56" spans="1:3" x14ac:dyDescent="0.25">
      <c r="A56" s="51">
        <v>46</v>
      </c>
      <c r="B56" s="52" t="s">
        <v>80</v>
      </c>
      <c r="C56" s="52" t="s">
        <v>115</v>
      </c>
    </row>
    <row r="57" spans="1:3" x14ac:dyDescent="0.25">
      <c r="A57" s="51">
        <v>47</v>
      </c>
      <c r="B57" s="52" t="s">
        <v>80</v>
      </c>
      <c r="C57" s="52" t="s">
        <v>115</v>
      </c>
    </row>
    <row r="58" spans="1:3" x14ac:dyDescent="0.25">
      <c r="A58" s="51">
        <v>48</v>
      </c>
      <c r="B58" s="52" t="s">
        <v>80</v>
      </c>
      <c r="C58" s="52" t="s">
        <v>115</v>
      </c>
    </row>
    <row r="59" spans="1:3" x14ac:dyDescent="0.25">
      <c r="A59" s="51">
        <v>49</v>
      </c>
      <c r="B59" s="52" t="s">
        <v>80</v>
      </c>
      <c r="C59" s="52" t="s">
        <v>115</v>
      </c>
    </row>
    <row r="60" spans="1:3" x14ac:dyDescent="0.25">
      <c r="A60" s="51">
        <v>50</v>
      </c>
      <c r="B60" s="52" t="s">
        <v>80</v>
      </c>
      <c r="C60" s="52" t="s">
        <v>115</v>
      </c>
    </row>
    <row r="61" spans="1:3" x14ac:dyDescent="0.25">
      <c r="A61" s="51">
        <v>51</v>
      </c>
      <c r="B61" s="52" t="s">
        <v>80</v>
      </c>
      <c r="C61" s="52" t="s">
        <v>115</v>
      </c>
    </row>
    <row r="62" spans="1:3" x14ac:dyDescent="0.25">
      <c r="A62" s="51">
        <v>52</v>
      </c>
      <c r="B62" s="52" t="s">
        <v>80</v>
      </c>
      <c r="C62" s="52" t="s">
        <v>115</v>
      </c>
    </row>
    <row r="63" spans="1:3" x14ac:dyDescent="0.25">
      <c r="A63" s="51">
        <v>53</v>
      </c>
      <c r="B63" s="52" t="s">
        <v>80</v>
      </c>
      <c r="C63" s="52" t="s">
        <v>115</v>
      </c>
    </row>
    <row r="64" spans="1:3" x14ac:dyDescent="0.25">
      <c r="A64" s="51">
        <v>24</v>
      </c>
      <c r="B64" s="52" t="s">
        <v>80</v>
      </c>
      <c r="C64" s="52" t="s">
        <v>116</v>
      </c>
    </row>
    <row r="65" spans="1:3" x14ac:dyDescent="0.25">
      <c r="A65" s="51">
        <v>25</v>
      </c>
      <c r="B65" s="52" t="s">
        <v>80</v>
      </c>
      <c r="C65" s="52" t="s">
        <v>117</v>
      </c>
    </row>
    <row r="66" spans="1:3" x14ac:dyDescent="0.25">
      <c r="A66" s="51">
        <v>26</v>
      </c>
      <c r="B66" s="52" t="s">
        <v>80</v>
      </c>
      <c r="C66" s="52" t="s">
        <v>118</v>
      </c>
    </row>
    <row r="67" spans="1:3" x14ac:dyDescent="0.25">
      <c r="A67" s="51">
        <v>27</v>
      </c>
      <c r="B67" s="52" t="s">
        <v>80</v>
      </c>
      <c r="C67" s="52" t="s">
        <v>119</v>
      </c>
    </row>
    <row r="68" spans="1:3" x14ac:dyDescent="0.25">
      <c r="A68" s="51">
        <v>62</v>
      </c>
      <c r="B68" s="52" t="s">
        <v>80</v>
      </c>
      <c r="C68" s="52" t="s">
        <v>120</v>
      </c>
    </row>
    <row r="69" spans="1:3" x14ac:dyDescent="0.25">
      <c r="A69" s="51">
        <v>63</v>
      </c>
      <c r="B69" s="52" t="s">
        <v>80</v>
      </c>
      <c r="C69" s="52" t="s">
        <v>121</v>
      </c>
    </row>
    <row r="70" spans="1:3" x14ac:dyDescent="0.25">
      <c r="A70" s="51">
        <v>28</v>
      </c>
      <c r="B70" s="52" t="s">
        <v>80</v>
      </c>
      <c r="C70" s="52" t="s">
        <v>122</v>
      </c>
    </row>
    <row r="71" spans="1:3" x14ac:dyDescent="0.25">
      <c r="A71" s="51">
        <v>39</v>
      </c>
      <c r="B71" s="52" t="s">
        <v>80</v>
      </c>
      <c r="C71" s="52" t="s">
        <v>123</v>
      </c>
    </row>
    <row r="72" spans="1:3" x14ac:dyDescent="0.25">
      <c r="A72" s="51">
        <v>29</v>
      </c>
      <c r="B72" s="52" t="s">
        <v>80</v>
      </c>
      <c r="C72" s="52" t="s">
        <v>124</v>
      </c>
    </row>
    <row r="73" spans="1:3" x14ac:dyDescent="0.25">
      <c r="A73" s="51">
        <v>40</v>
      </c>
      <c r="B73" s="52" t="s">
        <v>80</v>
      </c>
      <c r="C73" s="52" t="s">
        <v>125</v>
      </c>
    </row>
    <row r="74" spans="1:3" x14ac:dyDescent="0.25">
      <c r="A74" s="51">
        <v>30</v>
      </c>
      <c r="B74" s="52" t="s">
        <v>80</v>
      </c>
      <c r="C74" s="52" t="s">
        <v>126</v>
      </c>
    </row>
    <row r="75" spans="1:3" x14ac:dyDescent="0.25">
      <c r="A75" s="51">
        <v>41</v>
      </c>
      <c r="B75" s="52" t="s">
        <v>80</v>
      </c>
      <c r="C75" s="52" t="s">
        <v>127</v>
      </c>
    </row>
    <row r="76" spans="1:3" x14ac:dyDescent="0.25">
      <c r="A76" s="51">
        <v>31</v>
      </c>
      <c r="B76" s="52" t="s">
        <v>80</v>
      </c>
      <c r="C76" s="52" t="s">
        <v>128</v>
      </c>
    </row>
    <row r="77" spans="1:3" x14ac:dyDescent="0.25">
      <c r="A77" s="51">
        <v>32</v>
      </c>
      <c r="B77" s="52" t="s">
        <v>80</v>
      </c>
      <c r="C77" s="52" t="s">
        <v>129</v>
      </c>
    </row>
    <row r="78" spans="1:3" x14ac:dyDescent="0.25">
      <c r="A78" s="51">
        <v>60</v>
      </c>
      <c r="B78" s="52" t="s">
        <v>80</v>
      </c>
      <c r="C78" s="52" t="s">
        <v>130</v>
      </c>
    </row>
    <row r="79" spans="1:3" x14ac:dyDescent="0.25">
      <c r="A79" s="51">
        <v>61</v>
      </c>
      <c r="B79" s="52" t="s">
        <v>80</v>
      </c>
      <c r="C79" s="52" t="s">
        <v>131</v>
      </c>
    </row>
    <row r="80" spans="1:3" x14ac:dyDescent="0.25">
      <c r="A80" s="51">
        <v>33</v>
      </c>
      <c r="B80" s="52" t="s">
        <v>80</v>
      </c>
      <c r="C80" s="52" t="s">
        <v>132</v>
      </c>
    </row>
    <row r="81" spans="1:3" x14ac:dyDescent="0.25">
      <c r="A81" s="51">
        <v>34</v>
      </c>
      <c r="B81" s="52" t="s">
        <v>80</v>
      </c>
      <c r="C81" s="52" t="s">
        <v>133</v>
      </c>
    </row>
    <row r="82" spans="1:3" x14ac:dyDescent="0.25">
      <c r="A82" s="51">
        <v>91</v>
      </c>
      <c r="B82" s="52" t="s">
        <v>80</v>
      </c>
      <c r="C82" s="52" t="s">
        <v>134</v>
      </c>
    </row>
    <row r="83" spans="1:3" x14ac:dyDescent="0.25">
      <c r="A83" s="51">
        <v>35</v>
      </c>
      <c r="B83" s="52" t="s">
        <v>80</v>
      </c>
      <c r="C83" s="52" t="s">
        <v>135</v>
      </c>
    </row>
    <row r="84" spans="1:3" x14ac:dyDescent="0.25">
      <c r="A84" s="51">
        <v>36</v>
      </c>
      <c r="B84" s="52" t="s">
        <v>80</v>
      </c>
      <c r="C84" s="52" t="s">
        <v>136</v>
      </c>
    </row>
    <row r="85" spans="1:3" x14ac:dyDescent="0.25">
      <c r="A85" s="51">
        <v>92</v>
      </c>
      <c r="B85" s="52" t="s">
        <v>80</v>
      </c>
      <c r="C85" s="52" t="s">
        <v>137</v>
      </c>
    </row>
    <row r="86" spans="1:3" x14ac:dyDescent="0.25">
      <c r="A86" s="51">
        <v>54</v>
      </c>
      <c r="B86" s="52" t="s">
        <v>80</v>
      </c>
      <c r="C86" s="52" t="s">
        <v>138</v>
      </c>
    </row>
    <row r="87" spans="1:3" x14ac:dyDescent="0.25">
      <c r="A87" s="51">
        <v>57</v>
      </c>
      <c r="B87" s="52" t="s">
        <v>80</v>
      </c>
      <c r="C87" s="52" t="s">
        <v>139</v>
      </c>
    </row>
    <row r="88" spans="1:3" x14ac:dyDescent="0.25">
      <c r="A88" s="51">
        <v>59</v>
      </c>
      <c r="B88" s="52" t="s">
        <v>80</v>
      </c>
      <c r="C88" s="52" t="s">
        <v>140</v>
      </c>
    </row>
    <row r="89" spans="1:3" x14ac:dyDescent="0.25">
      <c r="A89" s="51">
        <v>56</v>
      </c>
      <c r="B89" s="52" t="s">
        <v>80</v>
      </c>
      <c r="C89" s="52" t="s">
        <v>141</v>
      </c>
    </row>
    <row r="90" spans="1:3" x14ac:dyDescent="0.25">
      <c r="A90" s="51">
        <v>55</v>
      </c>
      <c r="B90" s="52" t="s">
        <v>80</v>
      </c>
      <c r="C90" s="52" t="s">
        <v>142</v>
      </c>
    </row>
    <row r="91" spans="1:3" x14ac:dyDescent="0.25">
      <c r="A91" s="51">
        <v>65</v>
      </c>
      <c r="B91" s="52" t="s">
        <v>80</v>
      </c>
      <c r="C91" s="52" t="s">
        <v>143</v>
      </c>
    </row>
    <row r="92" spans="1:3" x14ac:dyDescent="0.25">
      <c r="A92" s="51">
        <v>37</v>
      </c>
      <c r="B92" s="52" t="s">
        <v>80</v>
      </c>
      <c r="C92" s="52" t="s">
        <v>144</v>
      </c>
    </row>
    <row r="93" spans="1:3" x14ac:dyDescent="0.25">
      <c r="A93" s="51">
        <v>38</v>
      </c>
      <c r="B93" s="52" t="s">
        <v>80</v>
      </c>
      <c r="C93" s="52" t="s">
        <v>145</v>
      </c>
    </row>
    <row r="94" spans="1:3" x14ac:dyDescent="0.25">
      <c r="A94" s="51">
        <v>93</v>
      </c>
      <c r="B94" s="52" t="s">
        <v>80</v>
      </c>
      <c r="C94" s="52" t="s">
        <v>146</v>
      </c>
    </row>
    <row r="95" spans="1:3" x14ac:dyDescent="0.25">
      <c r="A95" s="51">
        <v>94</v>
      </c>
      <c r="B95" s="52" t="s">
        <v>80</v>
      </c>
      <c r="C95" s="52" t="s">
        <v>147</v>
      </c>
    </row>
    <row r="96" spans="1:3" x14ac:dyDescent="0.25">
      <c r="A96" s="51"/>
      <c r="B96" s="52"/>
      <c r="C96" s="5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VIVIAN</vt:lpstr>
      <vt:lpstr>ABI</vt:lpstr>
      <vt:lpstr>MUATAN</vt:lpstr>
      <vt:lpstr>ABI ROUTE</vt:lpstr>
      <vt:lpstr>VIVIAN ROUTE</vt:lpstr>
      <vt:lpstr>TRANSPORT ROUTE</vt:lpstr>
      <vt:lpstr>ALL 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cp:lastPrinted>2026-05-28T02:32:32Z</cp:lastPrinted>
  <dcterms:created xsi:type="dcterms:W3CDTF">2026-05-18T03:29:28Z</dcterms:created>
  <dcterms:modified xsi:type="dcterms:W3CDTF">2026-05-28T02:51:01Z</dcterms:modified>
</cp:coreProperties>
</file>